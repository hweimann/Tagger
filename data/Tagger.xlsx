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xr:revisionPtr revIDLastSave="0" documentId="13_ncr:1_{54619B9C-5263-4442-9424-14C17450D0B0}" xr6:coauthVersionLast="47" xr6:coauthVersionMax="47" xr10:uidLastSave="{00000000-0000-0000-0000-000000000000}"/>
  <bookViews>
    <workbookView xWindow="-120" yWindow="-120" windowWidth="29040" windowHeight="15840" activeTab="2" xr2:uid="{AB46667B-B6E7-4271-BB17-53C9A1734552}"/>
  </bookViews>
  <sheets>
    <sheet name="LISTAS" sheetId="4" r:id="rId1"/>
    <sheet name="TAGEADOR" sheetId="5" r:id="rId2"/>
    <sheet name="Regla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5" l="1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O4" i="5"/>
  <c r="O2" i="5"/>
  <c r="O2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O15" i="5"/>
  <c r="O16" i="5"/>
  <c r="O17" i="5"/>
  <c r="O18" i="5"/>
  <c r="O19" i="5"/>
  <c r="O20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O5" i="5"/>
  <c r="O6" i="5"/>
  <c r="O7" i="5"/>
  <c r="O8" i="5"/>
  <c r="O9" i="5"/>
  <c r="O10" i="5"/>
  <c r="O11" i="5"/>
  <c r="O12" i="5"/>
  <c r="O13" i="5"/>
  <c r="O14" i="5"/>
  <c r="P5" i="5"/>
  <c r="P6" i="5"/>
  <c r="P7" i="5"/>
  <c r="P8" i="5"/>
  <c r="P9" i="5"/>
  <c r="P10" i="5"/>
  <c r="P11" i="5"/>
  <c r="P12" i="5"/>
  <c r="P13" i="5"/>
  <c r="P14" i="5"/>
  <c r="L592" i="5" l="1"/>
  <c r="L584" i="5"/>
  <c r="L576" i="5"/>
  <c r="L568" i="5"/>
  <c r="L560" i="5"/>
  <c r="L552" i="5"/>
  <c r="L544" i="5"/>
  <c r="L536" i="5"/>
  <c r="L528" i="5"/>
  <c r="L520" i="5"/>
  <c r="L512" i="5"/>
  <c r="L504" i="5"/>
  <c r="L496" i="5"/>
  <c r="L488" i="5"/>
  <c r="L480" i="5"/>
  <c r="L472" i="5"/>
  <c r="L464" i="5"/>
  <c r="L456" i="5"/>
  <c r="L448" i="5"/>
  <c r="L440" i="5"/>
  <c r="L432" i="5"/>
  <c r="L424" i="5"/>
  <c r="L416" i="5"/>
  <c r="L408" i="5"/>
  <c r="L400" i="5"/>
  <c r="L392" i="5"/>
  <c r="L384" i="5"/>
  <c r="L376" i="5"/>
  <c r="L368" i="5"/>
  <c r="L360" i="5"/>
  <c r="L352" i="5"/>
  <c r="L344" i="5"/>
  <c r="L336" i="5"/>
  <c r="L328" i="5"/>
  <c r="L320" i="5"/>
  <c r="L312" i="5"/>
  <c r="L304" i="5"/>
  <c r="L296" i="5"/>
  <c r="L288" i="5"/>
  <c r="L280" i="5"/>
  <c r="L272" i="5"/>
  <c r="L264" i="5"/>
  <c r="L256" i="5"/>
  <c r="L248" i="5"/>
  <c r="L240" i="5"/>
  <c r="L232" i="5"/>
  <c r="L224" i="5"/>
  <c r="L216" i="5"/>
  <c r="L208" i="5"/>
  <c r="L200" i="5"/>
  <c r="L192" i="5"/>
  <c r="L184" i="5"/>
  <c r="L176" i="5"/>
  <c r="L168" i="5"/>
  <c r="L160" i="5"/>
  <c r="L152" i="5"/>
  <c r="L144" i="5"/>
  <c r="L136" i="5"/>
  <c r="L128" i="5"/>
  <c r="L120" i="5"/>
  <c r="L112" i="5"/>
  <c r="L104" i="5"/>
  <c r="L96" i="5"/>
  <c r="L88" i="5"/>
  <c r="L80" i="5"/>
  <c r="L72" i="5"/>
  <c r="L64" i="5"/>
  <c r="L56" i="5"/>
  <c r="L48" i="5"/>
  <c r="L40" i="5"/>
  <c r="L32" i="5"/>
  <c r="L24" i="5"/>
  <c r="L16" i="5"/>
  <c r="L8" i="5"/>
  <c r="L591" i="5"/>
  <c r="L583" i="5"/>
  <c r="L575" i="5"/>
  <c r="L567" i="5"/>
  <c r="L559" i="5"/>
  <c r="L551" i="5"/>
  <c r="L543" i="5"/>
  <c r="L535" i="5"/>
  <c r="L527" i="5"/>
  <c r="L519" i="5"/>
  <c r="L511" i="5"/>
  <c r="L503" i="5"/>
  <c r="L495" i="5"/>
  <c r="L487" i="5"/>
  <c r="L479" i="5"/>
  <c r="L471" i="5"/>
  <c r="L463" i="5"/>
  <c r="L455" i="5"/>
  <c r="L447" i="5"/>
  <c r="L439" i="5"/>
  <c r="L431" i="5"/>
  <c r="L423" i="5"/>
  <c r="L415" i="5"/>
  <c r="L407" i="5"/>
  <c r="L399" i="5"/>
  <c r="L391" i="5"/>
  <c r="L383" i="5"/>
  <c r="L375" i="5"/>
  <c r="L367" i="5"/>
  <c r="L359" i="5"/>
  <c r="L351" i="5"/>
  <c r="L343" i="5"/>
  <c r="L335" i="5"/>
  <c r="L327" i="5"/>
  <c r="L319" i="5"/>
  <c r="L311" i="5"/>
  <c r="L303" i="5"/>
  <c r="L295" i="5"/>
  <c r="L287" i="5"/>
  <c r="L279" i="5"/>
  <c r="L271" i="5"/>
  <c r="L263" i="5"/>
  <c r="L255" i="5"/>
  <c r="L247" i="5"/>
  <c r="L239" i="5"/>
  <c r="L231" i="5"/>
  <c r="L223" i="5"/>
  <c r="L215" i="5"/>
  <c r="L207" i="5"/>
  <c r="L199" i="5"/>
  <c r="L191" i="5"/>
  <c r="L183" i="5"/>
  <c r="L175" i="5"/>
  <c r="L167" i="5"/>
  <c r="L159" i="5"/>
  <c r="L151" i="5"/>
  <c r="L143" i="5"/>
  <c r="L135" i="5"/>
  <c r="L127" i="5"/>
  <c r="L119" i="5"/>
  <c r="L111" i="5"/>
  <c r="L103" i="5"/>
  <c r="L95" i="5"/>
  <c r="L87" i="5"/>
  <c r="L79" i="5"/>
  <c r="L71" i="5"/>
  <c r="L63" i="5"/>
  <c r="L55" i="5"/>
  <c r="L47" i="5"/>
  <c r="L39" i="5"/>
  <c r="L31" i="5"/>
  <c r="L23" i="5"/>
  <c r="L15" i="5"/>
  <c r="L7" i="5"/>
  <c r="L590" i="5"/>
  <c r="L582" i="5"/>
  <c r="L574" i="5"/>
  <c r="L566" i="5"/>
  <c r="L558" i="5"/>
  <c r="L550" i="5"/>
  <c r="L542" i="5"/>
  <c r="L534" i="5"/>
  <c r="L526" i="5"/>
  <c r="L518" i="5"/>
  <c r="L510" i="5"/>
  <c r="L502" i="5"/>
  <c r="L494" i="5"/>
  <c r="L486" i="5"/>
  <c r="L478" i="5"/>
  <c r="L470" i="5"/>
  <c r="L462" i="5"/>
  <c r="L454" i="5"/>
  <c r="L446" i="5"/>
  <c r="L438" i="5"/>
  <c r="L430" i="5"/>
  <c r="L422" i="5"/>
  <c r="L414" i="5"/>
  <c r="L406" i="5"/>
  <c r="L398" i="5"/>
  <c r="L390" i="5"/>
  <c r="L382" i="5"/>
  <c r="L374" i="5"/>
  <c r="L366" i="5"/>
  <c r="L358" i="5"/>
  <c r="L350" i="5"/>
  <c r="L342" i="5"/>
  <c r="L334" i="5"/>
  <c r="L326" i="5"/>
  <c r="L318" i="5"/>
  <c r="L310" i="5"/>
  <c r="L302" i="5"/>
  <c r="L294" i="5"/>
  <c r="L286" i="5"/>
  <c r="L278" i="5"/>
  <c r="L270" i="5"/>
  <c r="L262" i="5"/>
  <c r="L254" i="5"/>
  <c r="L246" i="5"/>
  <c r="L238" i="5"/>
  <c r="L230" i="5"/>
  <c r="L222" i="5"/>
  <c r="L214" i="5"/>
  <c r="L206" i="5"/>
  <c r="L198" i="5"/>
  <c r="L190" i="5"/>
  <c r="L182" i="5"/>
  <c r="L174" i="5"/>
  <c r="L166" i="5"/>
  <c r="L158" i="5"/>
  <c r="L150" i="5"/>
  <c r="L142" i="5"/>
  <c r="L134" i="5"/>
  <c r="L126" i="5"/>
  <c r="L118" i="5"/>
  <c r="L110" i="5"/>
  <c r="L102" i="5"/>
  <c r="L94" i="5"/>
  <c r="L86" i="5"/>
  <c r="L78" i="5"/>
  <c r="L70" i="5"/>
  <c r="L62" i="5"/>
  <c r="L54" i="5"/>
  <c r="L46" i="5"/>
  <c r="L38" i="5"/>
  <c r="L30" i="5"/>
  <c r="L22" i="5"/>
  <c r="L14" i="5"/>
  <c r="L6" i="5"/>
  <c r="L589" i="5"/>
  <c r="L581" i="5"/>
  <c r="L573" i="5"/>
  <c r="L565" i="5"/>
  <c r="L557" i="5"/>
  <c r="L549" i="5"/>
  <c r="L541" i="5"/>
  <c r="L533" i="5"/>
  <c r="L525" i="5"/>
  <c r="L517" i="5"/>
  <c r="L509" i="5"/>
  <c r="L501" i="5"/>
  <c r="L493" i="5"/>
  <c r="L485" i="5"/>
  <c r="L477" i="5"/>
  <c r="L469" i="5"/>
  <c r="L461" i="5"/>
  <c r="L453" i="5"/>
  <c r="L445" i="5"/>
  <c r="L437" i="5"/>
  <c r="L429" i="5"/>
  <c r="L421" i="5"/>
  <c r="L413" i="5"/>
  <c r="L405" i="5"/>
  <c r="L397" i="5"/>
  <c r="L389" i="5"/>
  <c r="L381" i="5"/>
  <c r="L373" i="5"/>
  <c r="L365" i="5"/>
  <c r="L357" i="5"/>
  <c r="L349" i="5"/>
  <c r="L341" i="5"/>
  <c r="L333" i="5"/>
  <c r="L325" i="5"/>
  <c r="L317" i="5"/>
  <c r="L309" i="5"/>
  <c r="L301" i="5"/>
  <c r="L293" i="5"/>
  <c r="L285" i="5"/>
  <c r="L277" i="5"/>
  <c r="L269" i="5"/>
  <c r="L261" i="5"/>
  <c r="L253" i="5"/>
  <c r="L245" i="5"/>
  <c r="L237" i="5"/>
  <c r="L229" i="5"/>
  <c r="L221" i="5"/>
  <c r="L213" i="5"/>
  <c r="L205" i="5"/>
  <c r="L197" i="5"/>
  <c r="L189" i="5"/>
  <c r="L181" i="5"/>
  <c r="L173" i="5"/>
  <c r="L165" i="5"/>
  <c r="L157" i="5"/>
  <c r="L149" i="5"/>
  <c r="L141" i="5"/>
  <c r="L133" i="5"/>
  <c r="L125" i="5"/>
  <c r="L117" i="5"/>
  <c r="L109" i="5"/>
  <c r="L101" i="5"/>
  <c r="L93" i="5"/>
  <c r="L85" i="5"/>
  <c r="L77" i="5"/>
  <c r="L69" i="5"/>
  <c r="L61" i="5"/>
  <c r="L53" i="5"/>
  <c r="L45" i="5"/>
  <c r="L37" i="5"/>
  <c r="L29" i="5"/>
  <c r="L21" i="5"/>
  <c r="L13" i="5"/>
  <c r="L5" i="5"/>
  <c r="L596" i="5"/>
  <c r="L588" i="5"/>
  <c r="L580" i="5"/>
  <c r="L572" i="5"/>
  <c r="L564" i="5"/>
  <c r="L556" i="5"/>
  <c r="L548" i="5"/>
  <c r="L540" i="5"/>
  <c r="L532" i="5"/>
  <c r="L524" i="5"/>
  <c r="L516" i="5"/>
  <c r="L508" i="5"/>
  <c r="L500" i="5"/>
  <c r="L492" i="5"/>
  <c r="L484" i="5"/>
  <c r="L476" i="5"/>
  <c r="L468" i="5"/>
  <c r="L460" i="5"/>
  <c r="L452" i="5"/>
  <c r="L444" i="5"/>
  <c r="L436" i="5"/>
  <c r="L428" i="5"/>
  <c r="L420" i="5"/>
  <c r="L412" i="5"/>
  <c r="L404" i="5"/>
  <c r="L396" i="5"/>
  <c r="L388" i="5"/>
  <c r="L380" i="5"/>
  <c r="L372" i="5"/>
  <c r="L364" i="5"/>
  <c r="L356" i="5"/>
  <c r="L348" i="5"/>
  <c r="L340" i="5"/>
  <c r="L332" i="5"/>
  <c r="L324" i="5"/>
  <c r="L316" i="5"/>
  <c r="L308" i="5"/>
  <c r="L300" i="5"/>
  <c r="L292" i="5"/>
  <c r="L284" i="5"/>
  <c r="L276" i="5"/>
  <c r="L268" i="5"/>
  <c r="L260" i="5"/>
  <c r="L252" i="5"/>
  <c r="L244" i="5"/>
  <c r="L236" i="5"/>
  <c r="L228" i="5"/>
  <c r="L220" i="5"/>
  <c r="L212" i="5"/>
  <c r="L204" i="5"/>
  <c r="L196" i="5"/>
  <c r="L188" i="5"/>
  <c r="L180" i="5"/>
  <c r="L172" i="5"/>
  <c r="L164" i="5"/>
  <c r="L156" i="5"/>
  <c r="L148" i="5"/>
  <c r="L140" i="5"/>
  <c r="L132" i="5"/>
  <c r="L124" i="5"/>
  <c r="L116" i="5"/>
  <c r="L108" i="5"/>
  <c r="L100" i="5"/>
  <c r="L92" i="5"/>
  <c r="L84" i="5"/>
  <c r="L76" i="5"/>
  <c r="L68" i="5"/>
  <c r="L60" i="5"/>
  <c r="L52" i="5"/>
  <c r="L44" i="5"/>
  <c r="L36" i="5"/>
  <c r="L28" i="5"/>
  <c r="L20" i="5"/>
  <c r="L12" i="5"/>
  <c r="L595" i="5"/>
  <c r="L587" i="5"/>
  <c r="L579" i="5"/>
  <c r="L571" i="5"/>
  <c r="L563" i="5"/>
  <c r="L555" i="5"/>
  <c r="L547" i="5"/>
  <c r="L539" i="5"/>
  <c r="L531" i="5"/>
  <c r="L523" i="5"/>
  <c r="L515" i="5"/>
  <c r="L507" i="5"/>
  <c r="L499" i="5"/>
  <c r="L491" i="5"/>
  <c r="L483" i="5"/>
  <c r="L475" i="5"/>
  <c r="L467" i="5"/>
  <c r="L459" i="5"/>
  <c r="L451" i="5"/>
  <c r="L443" i="5"/>
  <c r="L435" i="5"/>
  <c r="L427" i="5"/>
  <c r="L419" i="5"/>
  <c r="L411" i="5"/>
  <c r="L403" i="5"/>
  <c r="L395" i="5"/>
  <c r="L387" i="5"/>
  <c r="L379" i="5"/>
  <c r="L371" i="5"/>
  <c r="L363" i="5"/>
  <c r="L355" i="5"/>
  <c r="L347" i="5"/>
  <c r="L339" i="5"/>
  <c r="L331" i="5"/>
  <c r="L323" i="5"/>
  <c r="L315" i="5"/>
  <c r="L307" i="5"/>
  <c r="L299" i="5"/>
  <c r="L291" i="5"/>
  <c r="L283" i="5"/>
  <c r="L275" i="5"/>
  <c r="L267" i="5"/>
  <c r="L259" i="5"/>
  <c r="L251" i="5"/>
  <c r="L243" i="5"/>
  <c r="L235" i="5"/>
  <c r="L227" i="5"/>
  <c r="L219" i="5"/>
  <c r="L211" i="5"/>
  <c r="L203" i="5"/>
  <c r="L195" i="5"/>
  <c r="L187" i="5"/>
  <c r="L179" i="5"/>
  <c r="L171" i="5"/>
  <c r="L163" i="5"/>
  <c r="L155" i="5"/>
  <c r="L147" i="5"/>
  <c r="L139" i="5"/>
  <c r="L131" i="5"/>
  <c r="L123" i="5"/>
  <c r="L115" i="5"/>
  <c r="L107" i="5"/>
  <c r="L99" i="5"/>
  <c r="L91" i="5"/>
  <c r="L83" i="5"/>
  <c r="L75" i="5"/>
  <c r="L67" i="5"/>
  <c r="L59" i="5"/>
  <c r="L51" i="5"/>
  <c r="L43" i="5"/>
  <c r="L35" i="5"/>
  <c r="L27" i="5"/>
  <c r="L19" i="5"/>
  <c r="L11" i="5"/>
  <c r="L594" i="5"/>
  <c r="L586" i="5"/>
  <c r="L578" i="5"/>
  <c r="L570" i="5"/>
  <c r="L562" i="5"/>
  <c r="L554" i="5"/>
  <c r="L546" i="5"/>
  <c r="L538" i="5"/>
  <c r="L530" i="5"/>
  <c r="L522" i="5"/>
  <c r="L514" i="5"/>
  <c r="L506" i="5"/>
  <c r="L498" i="5"/>
  <c r="L490" i="5"/>
  <c r="L482" i="5"/>
  <c r="L474" i="5"/>
  <c r="L466" i="5"/>
  <c r="L458" i="5"/>
  <c r="L450" i="5"/>
  <c r="L442" i="5"/>
  <c r="L434" i="5"/>
  <c r="L426" i="5"/>
  <c r="L418" i="5"/>
  <c r="L410" i="5"/>
  <c r="L402" i="5"/>
  <c r="L394" i="5"/>
  <c r="L386" i="5"/>
  <c r="L378" i="5"/>
  <c r="L370" i="5"/>
  <c r="L362" i="5"/>
  <c r="L354" i="5"/>
  <c r="L346" i="5"/>
  <c r="L338" i="5"/>
  <c r="L330" i="5"/>
  <c r="L322" i="5"/>
  <c r="L314" i="5"/>
  <c r="L306" i="5"/>
  <c r="L298" i="5"/>
  <c r="L290" i="5"/>
  <c r="L282" i="5"/>
  <c r="L274" i="5"/>
  <c r="L266" i="5"/>
  <c r="L258" i="5"/>
  <c r="L250" i="5"/>
  <c r="L242" i="5"/>
  <c r="L234" i="5"/>
  <c r="L226" i="5"/>
  <c r="L218" i="5"/>
  <c r="L210" i="5"/>
  <c r="L202" i="5"/>
  <c r="L194" i="5"/>
  <c r="L186" i="5"/>
  <c r="L178" i="5"/>
  <c r="L170" i="5"/>
  <c r="L162" i="5"/>
  <c r="L154" i="5"/>
  <c r="L146" i="5"/>
  <c r="L138" i="5"/>
  <c r="L130" i="5"/>
  <c r="L122" i="5"/>
  <c r="L114" i="5"/>
  <c r="L106" i="5"/>
  <c r="L98" i="5"/>
  <c r="L90" i="5"/>
  <c r="L82" i="5"/>
  <c r="L74" i="5"/>
  <c r="L66" i="5"/>
  <c r="L58" i="5"/>
  <c r="L50" i="5"/>
  <c r="L42" i="5"/>
  <c r="L34" i="5"/>
  <c r="L26" i="5"/>
  <c r="L18" i="5"/>
  <c r="L10" i="5"/>
  <c r="L593" i="5"/>
  <c r="L585" i="5"/>
  <c r="L577" i="5"/>
  <c r="L569" i="5"/>
  <c r="L561" i="5"/>
  <c r="L553" i="5"/>
  <c r="L545" i="5"/>
  <c r="L537" i="5"/>
  <c r="L529" i="5"/>
  <c r="L521" i="5"/>
  <c r="L513" i="5"/>
  <c r="L505" i="5"/>
  <c r="L497" i="5"/>
  <c r="L489" i="5"/>
  <c r="L481" i="5"/>
  <c r="L473" i="5"/>
  <c r="L465" i="5"/>
  <c r="L457" i="5"/>
  <c r="L449" i="5"/>
  <c r="L441" i="5"/>
  <c r="L433" i="5"/>
  <c r="L425" i="5"/>
  <c r="L417" i="5"/>
  <c r="L409" i="5"/>
  <c r="L401" i="5"/>
  <c r="L393" i="5"/>
  <c r="L385" i="5"/>
  <c r="L377" i="5"/>
  <c r="L369" i="5"/>
  <c r="L361" i="5"/>
  <c r="L353" i="5"/>
  <c r="L345" i="5"/>
  <c r="L337" i="5"/>
  <c r="L329" i="5"/>
  <c r="L321" i="5"/>
  <c r="L313" i="5"/>
  <c r="L305" i="5"/>
  <c r="L297" i="5"/>
  <c r="L289" i="5"/>
  <c r="L281" i="5"/>
  <c r="L273" i="5"/>
  <c r="L265" i="5"/>
  <c r="L257" i="5"/>
  <c r="L249" i="5"/>
  <c r="L241" i="5"/>
  <c r="L233" i="5"/>
  <c r="L225" i="5"/>
  <c r="L217" i="5"/>
  <c r="L209" i="5"/>
  <c r="L201" i="5"/>
  <c r="L193" i="5"/>
  <c r="L185" i="5"/>
  <c r="L177" i="5"/>
  <c r="L169" i="5"/>
  <c r="L161" i="5"/>
  <c r="L153" i="5"/>
  <c r="L145" i="5"/>
  <c r="L137" i="5"/>
  <c r="L129" i="5"/>
  <c r="L121" i="5"/>
  <c r="L113" i="5"/>
  <c r="L105" i="5"/>
  <c r="L97" i="5"/>
  <c r="L89" i="5"/>
  <c r="L81" i="5"/>
  <c r="L73" i="5"/>
  <c r="L65" i="5"/>
  <c r="L57" i="5"/>
  <c r="L49" i="5"/>
  <c r="L41" i="5"/>
  <c r="L33" i="5"/>
  <c r="L25" i="5"/>
  <c r="L17" i="5"/>
  <c r="L9" i="5"/>
  <c r="P4" i="5"/>
  <c r="O3" i="5"/>
  <c r="P3" i="5"/>
  <c r="P2" i="5"/>
  <c r="L2" i="5" l="1"/>
  <c r="L3" i="5"/>
  <c r="L4" i="5"/>
</calcChain>
</file>

<file path=xl/sharedStrings.xml><?xml version="1.0" encoding="utf-8"?>
<sst xmlns="http://schemas.openxmlformats.org/spreadsheetml/2006/main" count="4832" uniqueCount="1444">
  <si>
    <t>TAG</t>
  </si>
  <si>
    <t>PROTECCIONES</t>
  </si>
  <si>
    <t>RECIERRE</t>
  </si>
  <si>
    <t>13.2kv</t>
  </si>
  <si>
    <t>AL</t>
  </si>
  <si>
    <t>AR</t>
  </si>
  <si>
    <t>ARCO</t>
  </si>
  <si>
    <t>Reconectador</t>
  </si>
  <si>
    <t>Estacion Transformadora</t>
  </si>
  <si>
    <t>ET</t>
  </si>
  <si>
    <t>33kv</t>
  </si>
  <si>
    <t>CARRO</t>
  </si>
  <si>
    <t>A</t>
  </si>
  <si>
    <t>CD</t>
  </si>
  <si>
    <t>132kv</t>
  </si>
  <si>
    <t>CUBA</t>
  </si>
  <si>
    <t>KA</t>
  </si>
  <si>
    <t>CM</t>
  </si>
  <si>
    <t>500kv</t>
  </si>
  <si>
    <t>TE</t>
  </si>
  <si>
    <t>INI</t>
  </si>
  <si>
    <t>ABAT</t>
  </si>
  <si>
    <t>PROT</t>
  </si>
  <si>
    <t>Rectificador</t>
  </si>
  <si>
    <t>FM</t>
  </si>
  <si>
    <t>LL</t>
  </si>
  <si>
    <t>Recierre</t>
  </si>
  <si>
    <t>LISTO</t>
  </si>
  <si>
    <t>BL</t>
  </si>
  <si>
    <t>Interruptor</t>
  </si>
  <si>
    <t>TRI</t>
  </si>
  <si>
    <t>EST</t>
  </si>
  <si>
    <t>Bajo carga</t>
  </si>
  <si>
    <t>OVERL</t>
  </si>
  <si>
    <t>Seccionador</t>
  </si>
  <si>
    <t>PHI</t>
  </si>
  <si>
    <t>BABAT</t>
  </si>
  <si>
    <t>IRF</t>
  </si>
  <si>
    <t>APLOC</t>
  </si>
  <si>
    <t>HZ</t>
  </si>
  <si>
    <t>APREM</t>
  </si>
  <si>
    <t>SEF</t>
  </si>
  <si>
    <t>KW</t>
  </si>
  <si>
    <t>CICDO</t>
  </si>
  <si>
    <t>APCDO</t>
  </si>
  <si>
    <t>RESDES</t>
  </si>
  <si>
    <t>Multimedidor</t>
  </si>
  <si>
    <t>KVAR</t>
  </si>
  <si>
    <t>GAS</t>
  </si>
  <si>
    <t>LINV</t>
  </si>
  <si>
    <t>KVA</t>
  </si>
  <si>
    <t>UCALEF</t>
  </si>
  <si>
    <t>UILUM</t>
  </si>
  <si>
    <t>UMED</t>
  </si>
  <si>
    <t>KV</t>
  </si>
  <si>
    <t>VCDO</t>
  </si>
  <si>
    <t>VCOM</t>
  </si>
  <si>
    <t>UBARRA</t>
  </si>
  <si>
    <t>VMED</t>
  </si>
  <si>
    <t>VBAT</t>
  </si>
  <si>
    <t>VPROT</t>
  </si>
  <si>
    <t>VBARRA</t>
  </si>
  <si>
    <t>DI</t>
  </si>
  <si>
    <t>VSENIAL</t>
  </si>
  <si>
    <t>HOTLINE</t>
  </si>
  <si>
    <t>Sincronismo</t>
  </si>
  <si>
    <t>RELE</t>
  </si>
  <si>
    <t>CBFP</t>
  </si>
  <si>
    <t>DISC_PO</t>
  </si>
  <si>
    <t>BAT</t>
  </si>
  <si>
    <t>BZ</t>
  </si>
  <si>
    <t>GRAL</t>
  </si>
  <si>
    <t>IMTE</t>
  </si>
  <si>
    <t>CDO</t>
  </si>
  <si>
    <t>NIAC</t>
  </si>
  <si>
    <t>BI</t>
  </si>
  <si>
    <t>Teleproteccion</t>
  </si>
  <si>
    <t>CACAP</t>
  </si>
  <si>
    <t>FW</t>
  </si>
  <si>
    <t>MONO</t>
  </si>
  <si>
    <t>PROP</t>
  </si>
  <si>
    <t>SOTOF</t>
  </si>
  <si>
    <t>T</t>
  </si>
  <si>
    <t>TILIM</t>
  </si>
  <si>
    <t>Tipo</t>
  </si>
  <si>
    <t>TIPO</t>
  </si>
  <si>
    <t>Lugar</t>
  </si>
  <si>
    <t>San Luis</t>
  </si>
  <si>
    <t>SL</t>
  </si>
  <si>
    <t>Villa Mercedes Norte</t>
  </si>
  <si>
    <t>VMN</t>
  </si>
  <si>
    <t>Villa Mercedes Sur</t>
  </si>
  <si>
    <t>VMS</t>
  </si>
  <si>
    <t>LJ</t>
  </si>
  <si>
    <t>Que</t>
  </si>
  <si>
    <t>VM11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</si>
  <si>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</si>
  <si>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</si>
  <si>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</si>
  <si>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</si>
  <si>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</si>
  <si>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</si>
  <si>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</si>
  <si>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</si>
  <si>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</si>
  <si>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</si>
  <si>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CELDA</t>
  </si>
  <si>
    <t>DISPOSITIVO</t>
  </si>
  <si>
    <t>LUGAR</t>
  </si>
  <si>
    <t>TRASFORMADOR</t>
  </si>
  <si>
    <t>LINEA</t>
  </si>
  <si>
    <t>GENERAL</t>
  </si>
  <si>
    <t>OBJETO</t>
  </si>
  <si>
    <t>La Toma</t>
  </si>
  <si>
    <t>LT</t>
  </si>
  <si>
    <t>Lujan</t>
  </si>
  <si>
    <t>La Salvacion</t>
  </si>
  <si>
    <t>SV</t>
  </si>
  <si>
    <t>SEÑAL A TAGEAR</t>
  </si>
  <si>
    <t>Centro Distribuidor</t>
  </si>
  <si>
    <t>Centro Maniobra</t>
  </si>
  <si>
    <t>ETVMN VM11 Disparo General</t>
  </si>
  <si>
    <t>ETVMN VM11 Arranque Sobrecorriente Fase R</t>
  </si>
  <si>
    <t>ETVMN VM11 Arranque Sobrecorriente Fase S</t>
  </si>
  <si>
    <t>ETVMN VM11 Arranque Sobrecorriente Fase T</t>
  </si>
  <si>
    <t>ETVMN VM11 Arranque Sobrecorriente Tierra</t>
  </si>
  <si>
    <t>ETVMN VM11 Disparo I&gt;&gt;</t>
  </si>
  <si>
    <t>ETVMN VM11 Arranque I&gt;</t>
  </si>
  <si>
    <t>ETVMN VM11 Disparo I&gt;</t>
  </si>
  <si>
    <t>ETVMN VM11 Disparo Io&gt;&gt;</t>
  </si>
  <si>
    <t>ETVMN VM11 Arranque Io&gt;</t>
  </si>
  <si>
    <t>ETVMN VM11 Disparo Io&gt;</t>
  </si>
  <si>
    <t>ETVMN VM11 Estado Recierre DNP</t>
  </si>
  <si>
    <t>ETVMN VM11 Recierre iniciado DNP</t>
  </si>
  <si>
    <t>ETVMN VM11 Recierre exitoso</t>
  </si>
  <si>
    <t>ETVMN VM11 Recierre bloqueado por di def</t>
  </si>
  <si>
    <t>ETVMN VM11 Bloqueo de recierre por cierre man</t>
  </si>
  <si>
    <t>ETVMN VM11 Recierre Listo</t>
  </si>
  <si>
    <t>ETVMN VM11 Estado Interruptor DNP</t>
  </si>
  <si>
    <t>ETVMN VM11 Estado Seccionador Linea por DNP</t>
  </si>
  <si>
    <t>ETVMN VM11 Estado Seccionador PAT por DNP</t>
  </si>
  <si>
    <t>ETVMN VM11 Resorte Descargado por DNP</t>
  </si>
  <si>
    <t>ETVMN VM11 Baja Presion SF6 de Inter por DNP</t>
  </si>
  <si>
    <t>ETVMN VM11 Falta CC Med. y Protec. por DNP</t>
  </si>
  <si>
    <t>ETVMN VM11 Estado Llave Rele</t>
  </si>
  <si>
    <t>ETVMN VM11 Falta Tension senializacion por DNP</t>
  </si>
  <si>
    <t>ETVMN VM11 Estado Seccionador Barra por DNP</t>
  </si>
  <si>
    <t>ETVMN VM11 Estado Interruptor</t>
  </si>
  <si>
    <t>ETVMN VM11 Estado Seccionador PAT</t>
  </si>
  <si>
    <t>ETVMN VM11 Estado de Carro</t>
  </si>
  <si>
    <t>ETVMN VM11 Tension de Comando</t>
  </si>
  <si>
    <t>ETVMN VM11 Estado Recierre</t>
  </si>
  <si>
    <t>ETVMN VM11 Estado llave</t>
  </si>
  <si>
    <t>ETVMN VM11 Estado Rele Sobrecorriente</t>
  </si>
  <si>
    <t>ETVMN VM11 Arranque I&gt;&gt;</t>
  </si>
  <si>
    <t>ETVMN VM11 Arranque Io&gt;&gt;</t>
  </si>
  <si>
    <t>ETVMN VM11 Recierre Bloqueado Dinamicamente</t>
  </si>
  <si>
    <t>ETVMN VM11 Recierre Bloqueado</t>
  </si>
  <si>
    <t>ETVMN VM11 Recierre Fase-Tierra</t>
  </si>
  <si>
    <t>1_</t>
  </si>
  <si>
    <t>2_</t>
  </si>
  <si>
    <t>3_</t>
  </si>
  <si>
    <t>PAT</t>
  </si>
  <si>
    <t>CIMAN</t>
  </si>
  <si>
    <t>Reglas</t>
  </si>
  <si>
    <t>SIGLAS</t>
  </si>
  <si>
    <t>Santa Rosa</t>
  </si>
  <si>
    <t>QUE</t>
  </si>
  <si>
    <t>21_</t>
  </si>
  <si>
    <t>51_</t>
  </si>
  <si>
    <t>SR</t>
  </si>
  <si>
    <t>Encadenada</t>
  </si>
  <si>
    <t>EN</t>
  </si>
  <si>
    <t>Justo Daract</t>
  </si>
  <si>
    <t>JD</t>
  </si>
  <si>
    <t>150_</t>
  </si>
  <si>
    <t>15051_</t>
  </si>
  <si>
    <t>15051N_</t>
  </si>
  <si>
    <t>150N_</t>
  </si>
  <si>
    <t>151-</t>
  </si>
  <si>
    <t>151_</t>
  </si>
  <si>
    <t>151N_</t>
  </si>
  <si>
    <t>151N-PROT_</t>
  </si>
  <si>
    <t>151-PROT_</t>
  </si>
  <si>
    <t>152_</t>
  </si>
  <si>
    <t>157_</t>
  </si>
  <si>
    <t>181_</t>
  </si>
  <si>
    <t>189_</t>
  </si>
  <si>
    <t>189B_</t>
  </si>
  <si>
    <t>189L_</t>
  </si>
  <si>
    <t>189T_</t>
  </si>
  <si>
    <t>195-</t>
  </si>
  <si>
    <t>195_</t>
  </si>
  <si>
    <t>195-PROT_</t>
  </si>
  <si>
    <t>195-SEF_</t>
  </si>
  <si>
    <t>Reconectador falla tierra sensitiva de 13kv</t>
  </si>
  <si>
    <t>195-SUP_</t>
  </si>
  <si>
    <t>21-</t>
  </si>
  <si>
    <t>250_</t>
  </si>
  <si>
    <t>25051_</t>
  </si>
  <si>
    <t>25051N_</t>
  </si>
  <si>
    <t>250N_</t>
  </si>
  <si>
    <t>251-</t>
  </si>
  <si>
    <t>251_</t>
  </si>
  <si>
    <t>251N_</t>
  </si>
  <si>
    <t>251N-PROT_</t>
  </si>
  <si>
    <t>251-PROT_</t>
  </si>
  <si>
    <t>252_</t>
  </si>
  <si>
    <t>257_</t>
  </si>
  <si>
    <t>289_</t>
  </si>
  <si>
    <t>289B_</t>
  </si>
  <si>
    <t>289L_</t>
  </si>
  <si>
    <t>289T_</t>
  </si>
  <si>
    <t>295-</t>
  </si>
  <si>
    <t>295_</t>
  </si>
  <si>
    <t>295-PROT_</t>
  </si>
  <si>
    <t>295-SEF_</t>
  </si>
  <si>
    <t>Reconectador falla tierra sensitiva de 33kv</t>
  </si>
  <si>
    <t>295-SUP_</t>
  </si>
  <si>
    <t>350_</t>
  </si>
  <si>
    <t>35051_</t>
  </si>
  <si>
    <t>35051N_</t>
  </si>
  <si>
    <t>350N_</t>
  </si>
  <si>
    <t>351-</t>
  </si>
  <si>
    <t>351_</t>
  </si>
  <si>
    <t>351N_</t>
  </si>
  <si>
    <t>352_</t>
  </si>
  <si>
    <t>357_</t>
  </si>
  <si>
    <t>389_</t>
  </si>
  <si>
    <t>389B_</t>
  </si>
  <si>
    <t>389BT_</t>
  </si>
  <si>
    <t>389BTB_</t>
  </si>
  <si>
    <t>389BTT_</t>
  </si>
  <si>
    <t>389L_</t>
  </si>
  <si>
    <t>389T_</t>
  </si>
  <si>
    <t>50_</t>
  </si>
  <si>
    <t>5051_</t>
  </si>
  <si>
    <t>5051N_</t>
  </si>
  <si>
    <t>50N_</t>
  </si>
  <si>
    <t>51-</t>
  </si>
  <si>
    <t>51_1</t>
  </si>
  <si>
    <t>IED de sobrecorriente Medicion 13kv</t>
  </si>
  <si>
    <t>51_2</t>
  </si>
  <si>
    <t>IED de sobrecorriente Medicion 33kv</t>
  </si>
  <si>
    <t>51_3</t>
  </si>
  <si>
    <t>IED de sobrecorriente Medicion 132kv</t>
  </si>
  <si>
    <t>51N_</t>
  </si>
  <si>
    <t>51N-PROT_</t>
  </si>
  <si>
    <t>51-PROT_</t>
  </si>
  <si>
    <t>52-</t>
  </si>
  <si>
    <t>52_</t>
  </si>
  <si>
    <t>57_</t>
  </si>
  <si>
    <t>79_</t>
  </si>
  <si>
    <t>81_</t>
  </si>
  <si>
    <t>81-PROT_</t>
  </si>
  <si>
    <t>87-</t>
  </si>
  <si>
    <t>87_</t>
  </si>
  <si>
    <t>Prtoteccion diferencial 13kv Medicion</t>
  </si>
  <si>
    <t>Prtoteccion diferencial 33kv Medicion</t>
  </si>
  <si>
    <t>Prtoteccion diferencial 132kv Medicion</t>
  </si>
  <si>
    <t>89_</t>
  </si>
  <si>
    <t>89B_</t>
  </si>
  <si>
    <t>89BT_</t>
  </si>
  <si>
    <t>89BTB_</t>
  </si>
  <si>
    <t>89BTL_</t>
  </si>
  <si>
    <t>89L_</t>
  </si>
  <si>
    <t>89T_</t>
  </si>
  <si>
    <t>95-</t>
  </si>
  <si>
    <t>95_</t>
  </si>
  <si>
    <t>95-PROT_</t>
  </si>
  <si>
    <t>95-SEF_</t>
  </si>
  <si>
    <t>95-SUP_</t>
  </si>
  <si>
    <t>96-</t>
  </si>
  <si>
    <t>96_</t>
  </si>
  <si>
    <t>CELDA13_</t>
  </si>
  <si>
    <t>CELDA33_</t>
  </si>
  <si>
    <t>DAG_</t>
  </si>
  <si>
    <t>GRAL_</t>
  </si>
  <si>
    <t>MED_</t>
  </si>
  <si>
    <t>MED_1</t>
  </si>
  <si>
    <t>Multimedidor 13KV</t>
  </si>
  <si>
    <t>MED_2</t>
  </si>
  <si>
    <t>Multimedidor 33KV</t>
  </si>
  <si>
    <t>MED_3</t>
  </si>
  <si>
    <t>Multimedidor 132KV</t>
  </si>
  <si>
    <t>MED_5</t>
  </si>
  <si>
    <t>Multimedidor 500KV</t>
  </si>
  <si>
    <t>RBC_</t>
  </si>
  <si>
    <t>RECT-</t>
  </si>
  <si>
    <t>RECT_</t>
  </si>
  <si>
    <t>RECT-Q1_</t>
  </si>
  <si>
    <t>RECT-Q2_</t>
  </si>
  <si>
    <t>RECT-Q3_</t>
  </si>
  <si>
    <t>RTU_</t>
  </si>
  <si>
    <t>SMV_</t>
  </si>
  <si>
    <t>SY_</t>
  </si>
  <si>
    <t>TDD_</t>
  </si>
  <si>
    <t>TP_</t>
  </si>
  <si>
    <t>VENT_</t>
  </si>
  <si>
    <t>13kv</t>
  </si>
  <si>
    <t>Sobrecorriente Instantanea de 13kv</t>
  </si>
  <si>
    <t>Sobrecorriente general de 13kv</t>
  </si>
  <si>
    <t>Sobrecorriente general a tierra de 13kv</t>
  </si>
  <si>
    <t>Sobrecorriente instantanea a tierra de 13kv</t>
  </si>
  <si>
    <t>Sobrecorriente temporizada de 13kv</t>
  </si>
  <si>
    <t>Sobrecorriente temporizada a tierra de 13kv</t>
  </si>
  <si>
    <t>Estado de proteccion de tierra de un IED de sobrecorriente de 13kv</t>
  </si>
  <si>
    <t>Estado de proteccion de un IED de sobrecorriente de 13kv</t>
  </si>
  <si>
    <t>Interruptor de Trafo de 13kv</t>
  </si>
  <si>
    <t>PAT de interruptor de Trafo de 13kv</t>
  </si>
  <si>
    <t>Proteccion de frecuencia de 13kv</t>
  </si>
  <si>
    <t>Seccionador de 13kv</t>
  </si>
  <si>
    <t>Seccionador de barra de Trafo de 13kv</t>
  </si>
  <si>
    <t>Seccionador de linea de Trafo de 13kv</t>
  </si>
  <si>
    <t>Seccionador de Trafo de 13kv</t>
  </si>
  <si>
    <t>Reconectador  de 13kv</t>
  </si>
  <si>
    <t>Reconectador protecciones de 13kv</t>
  </si>
  <si>
    <t>Reconectador supervision remota de 13kv</t>
  </si>
  <si>
    <t>IED de distancia</t>
  </si>
  <si>
    <t>Sobrecorriente Instantanea de 33kv</t>
  </si>
  <si>
    <t>Sobrecorriente general de 33kv</t>
  </si>
  <si>
    <t>Sobrecorriente temporizada de 33kv</t>
  </si>
  <si>
    <t>Sobrecorriente temporizada a tierra de 33kv</t>
  </si>
  <si>
    <t>Estado de proteccion de tierra de un IED de sobrecorriente de 33kv</t>
  </si>
  <si>
    <t>Estado de proteccion de un IED de sobrecorriente de 33kv</t>
  </si>
  <si>
    <t>Interruptor de Trafo 33kv</t>
  </si>
  <si>
    <t>Seccionador de 33kv</t>
  </si>
  <si>
    <t>Seccionador de barra de 33kv</t>
  </si>
  <si>
    <t>Seccionador de linea de 33kv</t>
  </si>
  <si>
    <t>Seccionador de Trafo de 33kv</t>
  </si>
  <si>
    <t>Reconectador  de 33kv</t>
  </si>
  <si>
    <t>Reconectador protecciones de 33kv</t>
  </si>
  <si>
    <t>Reconectador supervision remota de 33kv</t>
  </si>
  <si>
    <t>Sobrecorriente Instantanea de 132kv</t>
  </si>
  <si>
    <t>Sobrecorriente general de 132kv</t>
  </si>
  <si>
    <t>Sobrecorriente general a tierra de 132kv</t>
  </si>
  <si>
    <t>Sobrecorriente instantanea a tierra de 132kv</t>
  </si>
  <si>
    <t>Sobrecorriente temporizada de 132kv</t>
  </si>
  <si>
    <t>Sobrecorriente temporizada a tierra de 132kv</t>
  </si>
  <si>
    <t>Interruptor de Trafo de 132kv</t>
  </si>
  <si>
    <t>PAT de interruptor de Trafo de 132kv</t>
  </si>
  <si>
    <t>Seccionador de 132kv</t>
  </si>
  <si>
    <t>Seccionador de barra de 132kv</t>
  </si>
  <si>
    <t>Seccionador de barra de trasferencia de 132kv</t>
  </si>
  <si>
    <t>Seccionador de barra de trasferencia lado barra de 132kv</t>
  </si>
  <si>
    <t>Seccionador de barra de trasferencia lado trafo de 132kv</t>
  </si>
  <si>
    <t>Seccionador de linea de 132kv</t>
  </si>
  <si>
    <t>Seccionador de Trafo de 132kv</t>
  </si>
  <si>
    <t>Sobrecorriente Instantanea</t>
  </si>
  <si>
    <t>Sobrecorriente general</t>
  </si>
  <si>
    <t>Sobrecorriente general a tierra</t>
  </si>
  <si>
    <t>Sobrecorriente instantanea a tierra</t>
  </si>
  <si>
    <t>Sobrecorriente temporizada</t>
  </si>
  <si>
    <t>Sobrecorriente temporizada a tierra</t>
  </si>
  <si>
    <t>Estado de proteccion de tierra de un IED de sobrecorriente</t>
  </si>
  <si>
    <t>Estado de proteccion de un IED de sobrecorriente</t>
  </si>
  <si>
    <t>Proteccion frecuencia</t>
  </si>
  <si>
    <t>Estado de proteccion frecuencia</t>
  </si>
  <si>
    <t>IED diferencial</t>
  </si>
  <si>
    <t>Proteccion diferencial 13kv</t>
  </si>
  <si>
    <t>Proteccion diferencial 132kv</t>
  </si>
  <si>
    <t>Proteccion diferencial alargamiento</t>
  </si>
  <si>
    <t>Reconectador protecciones</t>
  </si>
  <si>
    <t>Reconectador falla tierra sensitiva</t>
  </si>
  <si>
    <t>Reconectador supervision remota</t>
  </si>
  <si>
    <t>Señal celdas de 13kv</t>
  </si>
  <si>
    <t>Señal celdas de 33kv</t>
  </si>
  <si>
    <t>Desconexion automatica de generacion</t>
  </si>
  <si>
    <t>Señal general</t>
  </si>
  <si>
    <t>Regulador bajo carga</t>
  </si>
  <si>
    <t>Termica Q1 de rectificador</t>
  </si>
  <si>
    <t>Termica Q2 de rectificador</t>
  </si>
  <si>
    <t>Termica Q3 de rectificador</t>
  </si>
  <si>
    <t>Unidad de terminal remota</t>
  </si>
  <si>
    <t>Interruptor movil siemens</t>
  </si>
  <si>
    <t>Distorsion demanda total</t>
  </si>
  <si>
    <t>Ventiladores</t>
  </si>
  <si>
    <t>27</t>
  </si>
  <si>
    <t>SUBTENSION</t>
  </si>
  <si>
    <t>46</t>
  </si>
  <si>
    <t>SECUENCIA NEGATIVA</t>
  </si>
  <si>
    <t>51_INI</t>
  </si>
  <si>
    <t>PROTECCION INICADA</t>
  </si>
  <si>
    <t>52</t>
  </si>
  <si>
    <t>INTERRUPTOR</t>
  </si>
  <si>
    <t>59</t>
  </si>
  <si>
    <t>64</t>
  </si>
  <si>
    <t>FALLA A TIERRA</t>
  </si>
  <si>
    <t>67</t>
  </si>
  <si>
    <t>SOBRECORRIENTE DIRECCIONAL</t>
  </si>
  <si>
    <t>68_BLZ</t>
  </si>
  <si>
    <t>BLOQUEO IMPEDANCIA POR OSC DE POTENCIA</t>
  </si>
  <si>
    <t>79</t>
  </si>
  <si>
    <t>81</t>
  </si>
  <si>
    <t>PROTECCION FRECUENCIA</t>
  </si>
  <si>
    <t>CORRIENTE</t>
  </si>
  <si>
    <t>CORRIENTE BATERIA</t>
  </si>
  <si>
    <t>ALARMA</t>
  </si>
  <si>
    <t>ANIO</t>
  </si>
  <si>
    <t>AÑO</t>
  </si>
  <si>
    <t>APERTURA DE COMANDO</t>
  </si>
  <si>
    <t>APERTURA LOCAL</t>
  </si>
  <si>
    <t>APERTURA REMOTA</t>
  </si>
  <si>
    <t>ARRANQUE</t>
  </si>
  <si>
    <t>ATBAT</t>
  </si>
  <si>
    <t>ALTA TENSION BATERIA</t>
  </si>
  <si>
    <t>ATCON</t>
  </si>
  <si>
    <t>ALTA TENSION CONSUMO</t>
  </si>
  <si>
    <t>BAJA BATERIA</t>
  </si>
  <si>
    <t>BAT110</t>
  </si>
  <si>
    <t>FALLA BANCO 110VCC</t>
  </si>
  <si>
    <t>BAT48</t>
  </si>
  <si>
    <t>FALLA BANCO 48VCC</t>
  </si>
  <si>
    <t>BLOQUEADO</t>
  </si>
  <si>
    <t>BL_AP</t>
  </si>
  <si>
    <t>BLOQUEO APERTURA</t>
  </si>
  <si>
    <t>BL_CI</t>
  </si>
  <si>
    <t>BLOQUEO CIERRE</t>
  </si>
  <si>
    <t>BTBAT</t>
  </si>
  <si>
    <t>BAJA TENSION BATERIA</t>
  </si>
  <si>
    <t>BTCON</t>
  </si>
  <si>
    <t>BAJA TENSION CONSUMO</t>
  </si>
  <si>
    <t>CAFO</t>
  </si>
  <si>
    <t>CARGA A FONDO</t>
  </si>
  <si>
    <t>PROTECCION FALLO INTERRUPTOR</t>
  </si>
  <si>
    <t>CILOC</t>
  </si>
  <si>
    <t>CIERRE LOCAL</t>
  </si>
  <si>
    <t>CIERRE MANUAL</t>
  </si>
  <si>
    <t>CISINC</t>
  </si>
  <si>
    <t>CIERRE SINCRONIZADO</t>
  </si>
  <si>
    <t>CLBL</t>
  </si>
  <si>
    <t>COLD LOAD BLOQUEADO</t>
  </si>
  <si>
    <t>CONCOR</t>
  </si>
  <si>
    <t>CONDUCTOR CORTADO</t>
  </si>
  <si>
    <t>DISPARO</t>
  </si>
  <si>
    <t>DIA</t>
  </si>
  <si>
    <t>EMER</t>
  </si>
  <si>
    <t>EMERGENCIA</t>
  </si>
  <si>
    <t>ESTADO</t>
  </si>
  <si>
    <t>FALLA</t>
  </si>
  <si>
    <t>FBV</t>
  </si>
  <si>
    <t>FALLA BALANCE VOLTAJE</t>
  </si>
  <si>
    <t>FRED</t>
  </si>
  <si>
    <t>FALLA DE RED</t>
  </si>
  <si>
    <t>FUSF</t>
  </si>
  <si>
    <t>FUSION FUSIBLE</t>
  </si>
  <si>
    <t>FALTA PRESION GAS SF6</t>
  </si>
  <si>
    <t>GRUPO</t>
  </si>
  <si>
    <t>GRUPO DE PROTECCION</t>
  </si>
  <si>
    <t>HORA</t>
  </si>
  <si>
    <t>LINEA VIVA HABILITADA</t>
  </si>
  <si>
    <t>FRECUENCIA</t>
  </si>
  <si>
    <t>RBC INICIADO</t>
  </si>
  <si>
    <t>FALLA INTERNA IED</t>
  </si>
  <si>
    <t>CORRIENTE DE FALLA</t>
  </si>
  <si>
    <t>TENSION</t>
  </si>
  <si>
    <t>POTENCIA APARENTE</t>
  </si>
  <si>
    <t>POTENCIA REACTIVA</t>
  </si>
  <si>
    <t>KVARC</t>
  </si>
  <si>
    <t>POTENCIA REACTIVA CAPACITIVA</t>
  </si>
  <si>
    <t>KVARL</t>
  </si>
  <si>
    <t>POTENCIA REACTIVA INDUCTIVA</t>
  </si>
  <si>
    <t>POTENCIA ACTIVA</t>
  </si>
  <si>
    <t>LED</t>
  </si>
  <si>
    <t xml:space="preserve">LUZ LED </t>
  </si>
  <si>
    <t>FLUJO INVERTIDO</t>
  </si>
  <si>
    <t>MES</t>
  </si>
  <si>
    <t>MIN</t>
  </si>
  <si>
    <t>MINUTO</t>
  </si>
  <si>
    <t>SOBRECARGA</t>
  </si>
  <si>
    <t>FACTOR DE POTENCIA</t>
  </si>
  <si>
    <t>PROP_BL</t>
  </si>
  <si>
    <t>BLOQUEADO POR PROPIAS</t>
  </si>
  <si>
    <t>PRUEBA</t>
  </si>
  <si>
    <t>EN PRUEBA</t>
  </si>
  <si>
    <t>PUERTA</t>
  </si>
  <si>
    <t>PUERTA ABIERTA</t>
  </si>
  <si>
    <t>RELE OK</t>
  </si>
  <si>
    <t>RESORTE DESCARGADO</t>
  </si>
  <si>
    <t>SEG</t>
  </si>
  <si>
    <t>SEGUNDO</t>
  </si>
  <si>
    <t>SEM</t>
  </si>
  <si>
    <t>DIA DE LA SEMANA</t>
  </si>
  <si>
    <t>TAP</t>
  </si>
  <si>
    <t>POSICION TAP</t>
  </si>
  <si>
    <t>TELEP</t>
  </si>
  <si>
    <t>TELEPROTECCION</t>
  </si>
  <si>
    <t>TRANS_GM</t>
  </si>
  <si>
    <t>TRANSMISION GM</t>
  </si>
  <si>
    <t>FALTA TENSION ALTERNA BARRA</t>
  </si>
  <si>
    <t>FALTA TENSION ALTERNA CALEFACCION</t>
  </si>
  <si>
    <t>UGRAL</t>
  </si>
  <si>
    <t>FALTA TENSION ALTERNA GRAL</t>
  </si>
  <si>
    <t>FALTA TENSION ILUMINACION</t>
  </si>
  <si>
    <t>FALTA TENSION ALTERNA MEDICION</t>
  </si>
  <si>
    <t>URECT110</t>
  </si>
  <si>
    <t>URECT48</t>
  </si>
  <si>
    <t>FALTA TENSION CONTINUA BARRA</t>
  </si>
  <si>
    <t>TENSION BATERIA</t>
  </si>
  <si>
    <t>VCA</t>
  </si>
  <si>
    <t>FALTA TENSION ALTERNA</t>
  </si>
  <si>
    <t>VCC</t>
  </si>
  <si>
    <t>FALTA TENSION CONTINUA</t>
  </si>
  <si>
    <t>FALTA TENSION CONTINUA MEDIDOR</t>
  </si>
  <si>
    <t>VRECT110</t>
  </si>
  <si>
    <t>FALTA TENSION RECTIFICADOR 110VCC</t>
  </si>
  <si>
    <t>VRECT48</t>
  </si>
  <si>
    <t>FALTA TENSION RECTIFICADOR 48VCC</t>
  </si>
  <si>
    <t>Columna2</t>
  </si>
  <si>
    <t>1</t>
  </si>
  <si>
    <t>2</t>
  </si>
  <si>
    <t>_1</t>
  </si>
  <si>
    <t>_2</t>
  </si>
  <si>
    <t>_3</t>
  </si>
  <si>
    <t>_4</t>
  </si>
  <si>
    <t>_51</t>
  </si>
  <si>
    <t>SOBRECORRIENTE</t>
  </si>
  <si>
    <t>_6</t>
  </si>
  <si>
    <t>_7</t>
  </si>
  <si>
    <t>_8-1</t>
  </si>
  <si>
    <t>8/1</t>
  </si>
  <si>
    <t>_8-2</t>
  </si>
  <si>
    <t>8/2</t>
  </si>
  <si>
    <t>_A</t>
  </si>
  <si>
    <t>AMPER</t>
  </si>
  <si>
    <t>_AA</t>
  </si>
  <si>
    <t>_AL</t>
  </si>
  <si>
    <t>_AR</t>
  </si>
  <si>
    <t>_AR_R</t>
  </si>
  <si>
    <t>ARRANQUE FASE R</t>
  </si>
  <si>
    <t>_AR_S</t>
  </si>
  <si>
    <t>ARRANQUE FASE S</t>
  </si>
  <si>
    <t>_AR_T</t>
  </si>
  <si>
    <t>ARRANQUE FASE T</t>
  </si>
  <si>
    <t>_B</t>
  </si>
  <si>
    <t>B</t>
  </si>
  <si>
    <t>_BL</t>
  </si>
  <si>
    <t>_BLDIN</t>
  </si>
  <si>
    <t>BLOQUEADO DINAMICAMENTE</t>
  </si>
  <si>
    <t>_C</t>
  </si>
  <si>
    <t>C</t>
  </si>
  <si>
    <t>_CAMPO</t>
  </si>
  <si>
    <t>CAMPO</t>
  </si>
  <si>
    <t>_CELDA</t>
  </si>
  <si>
    <t>_CEST</t>
  </si>
  <si>
    <t>CENTRO ESTRELLA</t>
  </si>
  <si>
    <t>_CIMAN</t>
  </si>
  <si>
    <t>_CONFIG</t>
  </si>
  <si>
    <t>CONFIGURACION</t>
  </si>
  <si>
    <t>_CUBA</t>
  </si>
  <si>
    <t>_DD</t>
  </si>
  <si>
    <t>_DES</t>
  </si>
  <si>
    <t>DESBALANCE</t>
  </si>
  <si>
    <t>_DI</t>
  </si>
  <si>
    <t>_DI_R</t>
  </si>
  <si>
    <t>DISPARO FASE R</t>
  </si>
  <si>
    <t>_DI_S</t>
  </si>
  <si>
    <t>DISPARO FASE S</t>
  </si>
  <si>
    <t>_DI_T</t>
  </si>
  <si>
    <t>DISPARO FASE T</t>
  </si>
  <si>
    <t>_DIDEF</t>
  </si>
  <si>
    <t>DISPARO DEFINITIVO</t>
  </si>
  <si>
    <t>_DIDEFTRI</t>
  </si>
  <si>
    <t>DISPARO DEFINITIVO TRIFASICO</t>
  </si>
  <si>
    <t>_ED</t>
  </si>
  <si>
    <t>EDIFICIO</t>
  </si>
  <si>
    <t>_EST</t>
  </si>
  <si>
    <t>_EX</t>
  </si>
  <si>
    <t>EXITOSO</t>
  </si>
  <si>
    <t>_F</t>
  </si>
  <si>
    <t>FASE</t>
  </si>
  <si>
    <t>_FALLA</t>
  </si>
  <si>
    <t>_FF</t>
  </si>
  <si>
    <t>FASE FASE</t>
  </si>
  <si>
    <t>_FM</t>
  </si>
  <si>
    <t>_FN</t>
  </si>
  <si>
    <t>FASE NEUTRO</t>
  </si>
  <si>
    <t>_FSER</t>
  </si>
  <si>
    <t>FUERA DE SERVICIO</t>
  </si>
  <si>
    <t>_FTI</t>
  </si>
  <si>
    <t>FASE TIERRA</t>
  </si>
  <si>
    <t>_G</t>
  </si>
  <si>
    <t>GROUND</t>
  </si>
  <si>
    <t>_GAS</t>
  </si>
  <si>
    <t>GAS SF6</t>
  </si>
  <si>
    <t>_H</t>
  </si>
  <si>
    <t>_INI</t>
  </si>
  <si>
    <t>INICIADO</t>
  </si>
  <si>
    <t>_LISTO</t>
  </si>
  <si>
    <t>_M</t>
  </si>
  <si>
    <t>MINUTOS</t>
  </si>
  <si>
    <t>_MM</t>
  </si>
  <si>
    <t>_MONO</t>
  </si>
  <si>
    <t>MONOFASICO</t>
  </si>
  <si>
    <t>_MONO_INI</t>
  </si>
  <si>
    <t>MONOFASICO INICIADO</t>
  </si>
  <si>
    <t>_MUX</t>
  </si>
  <si>
    <t>NUX</t>
  </si>
  <si>
    <t>_N</t>
  </si>
  <si>
    <t>NEUTRO</t>
  </si>
  <si>
    <t>_NG</t>
  </si>
  <si>
    <t>NEUTRO TIERRA</t>
  </si>
  <si>
    <t>_NOLISTO</t>
  </si>
  <si>
    <t>NO LISTO</t>
  </si>
  <si>
    <t>_NORM</t>
  </si>
  <si>
    <t>NORMAL</t>
  </si>
  <si>
    <t>_PY</t>
  </si>
  <si>
    <t>PLAYA</t>
  </si>
  <si>
    <t>_PROT</t>
  </si>
  <si>
    <t>PROTECCION</t>
  </si>
  <si>
    <t>_R</t>
  </si>
  <si>
    <t>FASE R</t>
  </si>
  <si>
    <t>_RESD</t>
  </si>
  <si>
    <t>RESIDUAL</t>
  </si>
  <si>
    <t>_RESDES</t>
  </si>
  <si>
    <t>_RN</t>
  </si>
  <si>
    <t>FASE R A TIERRA</t>
  </si>
  <si>
    <t>_ROUTER</t>
  </si>
  <si>
    <t>ROUTER</t>
  </si>
  <si>
    <t>_RS</t>
  </si>
  <si>
    <t>FASE RS</t>
  </si>
  <si>
    <t>_RSN</t>
  </si>
  <si>
    <t>FASE RS A TIERRA</t>
  </si>
  <si>
    <t>_RST</t>
  </si>
  <si>
    <t>FASE RST</t>
  </si>
  <si>
    <t>_RSTN</t>
  </si>
  <si>
    <t>FASE RST A TIERRA</t>
  </si>
  <si>
    <t>_RTN</t>
  </si>
  <si>
    <t>FASE TR A TIERRA</t>
  </si>
  <si>
    <t>_RX</t>
  </si>
  <si>
    <t>RECEPCION</t>
  </si>
  <si>
    <t>_SL</t>
  </si>
  <si>
    <t>SALA</t>
  </si>
  <si>
    <t>_S</t>
  </si>
  <si>
    <t>FASE S</t>
  </si>
  <si>
    <t>_SEF</t>
  </si>
  <si>
    <t>TIERRA SENSITIVA</t>
  </si>
  <si>
    <t>_SMV</t>
  </si>
  <si>
    <t>SIMOVER</t>
  </si>
  <si>
    <t>_SN</t>
  </si>
  <si>
    <t>FASE S A TIERRA</t>
  </si>
  <si>
    <t>_ST</t>
  </si>
  <si>
    <t>FASE ST A TIERRA</t>
  </si>
  <si>
    <t>_STN</t>
  </si>
  <si>
    <t>_SWITCH</t>
  </si>
  <si>
    <t>SWITCH</t>
  </si>
  <si>
    <t>_T</t>
  </si>
  <si>
    <t>FASE T</t>
  </si>
  <si>
    <t>_TELE</t>
  </si>
  <si>
    <t>_TN</t>
  </si>
  <si>
    <t>FASE T A TIERRA</t>
  </si>
  <si>
    <t>_TR</t>
  </si>
  <si>
    <t>FASE TR</t>
  </si>
  <si>
    <t>_TRI</t>
  </si>
  <si>
    <t>TRISAFICO</t>
  </si>
  <si>
    <t>_TRI_INI</t>
  </si>
  <si>
    <t>TRISAFICO INICIADO</t>
  </si>
  <si>
    <t>_TX</t>
  </si>
  <si>
    <t>TRANSMISION</t>
  </si>
  <si>
    <t>_Z1</t>
  </si>
  <si>
    <t>ZONA 1</t>
  </si>
  <si>
    <t>_Z1_N</t>
  </si>
  <si>
    <t>ZONA 1 TIERRA</t>
  </si>
  <si>
    <t>_Z1_R</t>
  </si>
  <si>
    <t>ZONA 1 FASE R</t>
  </si>
  <si>
    <t>_Z1_S</t>
  </si>
  <si>
    <t>ZONA 1 FASE S</t>
  </si>
  <si>
    <t>_Z1_T</t>
  </si>
  <si>
    <t>ZONA 1 FASE T</t>
  </si>
  <si>
    <t>_Z1B</t>
  </si>
  <si>
    <t>ZONA 1 AMPLIADA</t>
  </si>
  <si>
    <t>_Z2</t>
  </si>
  <si>
    <t>ZONA 2</t>
  </si>
  <si>
    <t>_Z2_N</t>
  </si>
  <si>
    <t>ZONA 2 TIERRA</t>
  </si>
  <si>
    <t>_Z2_R</t>
  </si>
  <si>
    <t>ZONA 2 FASE R</t>
  </si>
  <si>
    <t>_Z2_S</t>
  </si>
  <si>
    <t>ZONA 2 FASE S</t>
  </si>
  <si>
    <t>_Z2_T</t>
  </si>
  <si>
    <t>ZONA 2 FASE T</t>
  </si>
  <si>
    <t>_Z3</t>
  </si>
  <si>
    <t>ZONA 3</t>
  </si>
  <si>
    <t>_Z3_N</t>
  </si>
  <si>
    <t>ZONA 3 TIERRA</t>
  </si>
  <si>
    <t>_Z3_R</t>
  </si>
  <si>
    <t>ZONA 3 FASE R</t>
  </si>
  <si>
    <t>_Z3_S</t>
  </si>
  <si>
    <t>ZONA 3 FASE S</t>
  </si>
  <si>
    <t>_Z3_T</t>
  </si>
  <si>
    <t>ZONA 3 FASE T</t>
  </si>
  <si>
    <t>_Z4</t>
  </si>
  <si>
    <t>ZONA 4</t>
  </si>
  <si>
    <t>_Z4_N</t>
  </si>
  <si>
    <t>ZONA 4 TIERRA</t>
  </si>
  <si>
    <t>_Z4_R</t>
  </si>
  <si>
    <t>ZONA 4 FASE R</t>
  </si>
  <si>
    <t>_Z4_S</t>
  </si>
  <si>
    <t>ZONA 4 FASE S</t>
  </si>
  <si>
    <t>_Z4_T</t>
  </si>
  <si>
    <t>ZONA 4 FASE T</t>
  </si>
  <si>
    <t>_Z4RV</t>
  </si>
  <si>
    <t>ZONA 4 REVERSA</t>
  </si>
  <si>
    <t>_Z5</t>
  </si>
  <si>
    <t>ZONA 5</t>
  </si>
  <si>
    <t>AR_FW</t>
  </si>
  <si>
    <t>ARRANQUE ADELANTE</t>
  </si>
  <si>
    <t>AR_RV</t>
  </si>
  <si>
    <t>ARRANQUE REVERSA</t>
  </si>
  <si>
    <t>ARC</t>
  </si>
  <si>
    <t>BATERIA</t>
  </si>
  <si>
    <t>BANCO BATERIA 110VCC</t>
  </si>
  <si>
    <t>BANCO BATERIA 48VCC</t>
  </si>
  <si>
    <t>BIFASICA</t>
  </si>
  <si>
    <t>BIN</t>
  </si>
  <si>
    <t>BIFASICA TIERRA</t>
  </si>
  <si>
    <t>BUCHHOLZ</t>
  </si>
  <si>
    <t>CARGA CAPACITOR</t>
  </si>
  <si>
    <t>CONFIG</t>
  </si>
  <si>
    <t>DEFINITIVO</t>
  </si>
  <si>
    <t>DEFINITIVO TRIFASICO</t>
  </si>
  <si>
    <t>DIF_R</t>
  </si>
  <si>
    <t>DIFERENCIAL FASE R</t>
  </si>
  <si>
    <t>DIF_S</t>
  </si>
  <si>
    <t>DIFERENCIAL FASE S</t>
  </si>
  <si>
    <t>DIF_T</t>
  </si>
  <si>
    <t>DIFERENCIAL FASE T</t>
  </si>
  <si>
    <t>ADELANTE</t>
  </si>
  <si>
    <t>GRAL_N</t>
  </si>
  <si>
    <t>GENERAL TIERRA</t>
  </si>
  <si>
    <t>GRAL_R</t>
  </si>
  <si>
    <t>GENERAL FASE R</t>
  </si>
  <si>
    <t>GRAL_S</t>
  </si>
  <si>
    <t>GENERAL FASE S</t>
  </si>
  <si>
    <t>GRAL_T</t>
  </si>
  <si>
    <t>GENERAL FASE T</t>
  </si>
  <si>
    <t>I</t>
  </si>
  <si>
    <t>INSTANTANEA</t>
  </si>
  <si>
    <t>IMAGEN TERMICA</t>
  </si>
  <si>
    <t>MAX_R</t>
  </si>
  <si>
    <t>MAXIMA FASE R</t>
  </si>
  <si>
    <t>MAX_S</t>
  </si>
  <si>
    <t>MAXIMA FASE S</t>
  </si>
  <si>
    <t>MAX_T</t>
  </si>
  <si>
    <t>MAXIMA FASE T</t>
  </si>
  <si>
    <t>MONOFASICA</t>
  </si>
  <si>
    <t>MONO_Z1</t>
  </si>
  <si>
    <t>MONOFASICA ZONA 1</t>
  </si>
  <si>
    <t>MONO_Z1B</t>
  </si>
  <si>
    <t>MONOFASICA ZONA 1 AMPLIADA</t>
  </si>
  <si>
    <t>MONO_Z2</t>
  </si>
  <si>
    <t>MONOFASICA ZONA 2</t>
  </si>
  <si>
    <t>N_DI</t>
  </si>
  <si>
    <t>NEUTRO DISPARO</t>
  </si>
  <si>
    <t>NDIR_N</t>
  </si>
  <si>
    <t>NO DIRECCIONAL TIERRA</t>
  </si>
  <si>
    <t>NDIR_R</t>
  </si>
  <si>
    <t>NO DIRECCIONAL FASE R</t>
  </si>
  <si>
    <t>NDIR_S</t>
  </si>
  <si>
    <t>NO DIRECCIONAL FASE S</t>
  </si>
  <si>
    <t>NDIR_T</t>
  </si>
  <si>
    <t>NO DIRECCIONAL FASE T</t>
  </si>
  <si>
    <t>NIVEL ACEITE</t>
  </si>
  <si>
    <t>OSC</t>
  </si>
  <si>
    <t>OSCILACION</t>
  </si>
  <si>
    <t>PELEC</t>
  </si>
  <si>
    <t>PROTECCION ELECTRICA</t>
  </si>
  <si>
    <t>-PRES_R</t>
  </si>
  <si>
    <t>PRESENCIA DE TENSION FASE R</t>
  </si>
  <si>
    <t>-PRES_S</t>
  </si>
  <si>
    <t>PRESENCIA DE TENSION FASE S</t>
  </si>
  <si>
    <t>-PRES_T</t>
  </si>
  <si>
    <t>PRESENCIA DE TENSION FASE T</t>
  </si>
  <si>
    <t>PROPIAS</t>
  </si>
  <si>
    <t>REIN</t>
  </si>
  <si>
    <t>REINTENTO</t>
  </si>
  <si>
    <t>RES_R</t>
  </si>
  <si>
    <t>RESTRAIN FASE R</t>
  </si>
  <si>
    <t>RES_S</t>
  </si>
  <si>
    <t>RESTRAIN FASE S</t>
  </si>
  <si>
    <t>RES_T</t>
  </si>
  <si>
    <t>RESTRAIN FASE T</t>
  </si>
  <si>
    <t>RV</t>
  </si>
  <si>
    <t>REVERSA</t>
  </si>
  <si>
    <t>SINCPRI</t>
  </si>
  <si>
    <t>SINCRONISMO PRIMARIO</t>
  </si>
  <si>
    <t>SINCSEC</t>
  </si>
  <si>
    <t>SINCRONISMO SECUNDARIO</t>
  </si>
  <si>
    <t>SOLO_R</t>
  </si>
  <si>
    <t>SOLO FASE R</t>
  </si>
  <si>
    <t>SOLO_S</t>
  </si>
  <si>
    <t>SOLO FASE S</t>
  </si>
  <si>
    <t>SOLO_T</t>
  </si>
  <si>
    <t>SOLO FASE T</t>
  </si>
  <si>
    <t>SOTF_Z1</t>
  </si>
  <si>
    <t>CIERRE SOBRE FALLA ZONA 1</t>
  </si>
  <si>
    <t>SOTF_Z2</t>
  </si>
  <si>
    <t>CIERRE SOBRE FALLA ZONA 2</t>
  </si>
  <si>
    <t>SOTF_Z3</t>
  </si>
  <si>
    <t>CIERRE SOBRE FALLA ZONA 3</t>
  </si>
  <si>
    <t>SOTF_Z4</t>
  </si>
  <si>
    <t>CIERRE SOBRE FALLA ZONA 4</t>
  </si>
  <si>
    <t>CIERRE SOBRE FALLA</t>
  </si>
  <si>
    <t>SOTOF_R</t>
  </si>
  <si>
    <t>CIERRE SOBRE FALLA FASE R</t>
  </si>
  <si>
    <t>SOTOF_S</t>
  </si>
  <si>
    <t>CIERRE SOBRE FALLA FASE S</t>
  </si>
  <si>
    <t>SOTOF_T</t>
  </si>
  <si>
    <t>CIERRE SOBRE FALLA FASE T</t>
  </si>
  <si>
    <t>TEMPORIZADA</t>
  </si>
  <si>
    <t>TEMPERATURA</t>
  </si>
  <si>
    <t>TEAC</t>
  </si>
  <si>
    <t>TEMPERATURA ACEITE</t>
  </si>
  <si>
    <t>TELE_A</t>
  </si>
  <si>
    <t>TELEPROTECCION A</t>
  </si>
  <si>
    <t>TELE_B</t>
  </si>
  <si>
    <t>TELEPROTECCION B</t>
  </si>
  <si>
    <t>TIEMPO LIMITE</t>
  </si>
  <si>
    <t>TRIFASICO</t>
  </si>
  <si>
    <t>TRI_Z1_FMONO</t>
  </si>
  <si>
    <t>TRISFASICO ZONA 1 FALLA MONOFASICA</t>
  </si>
  <si>
    <t>TRI_Z1_FMULT</t>
  </si>
  <si>
    <t>TRISFASICO ZONA 1 FALLA MULTIFASICA</t>
  </si>
  <si>
    <t>TRI_Z1B_FMONO</t>
  </si>
  <si>
    <t>TRISFASICO ZONA 1 AMPLIADA FALLA MONOFASICA</t>
  </si>
  <si>
    <t>TRI_Z1B_FMULT</t>
  </si>
  <si>
    <t>TRISFASICO ZONA 1 AMPLIADA FALLA MULTIFASICA</t>
  </si>
  <si>
    <t>TRI_Z2</t>
  </si>
  <si>
    <t>TRISFASICO ZONA 2</t>
  </si>
  <si>
    <t>TRI_Z3</t>
  </si>
  <si>
    <t>TRISFASICO ZONA 3</t>
  </si>
  <si>
    <t>TRI_Z4</t>
  </si>
  <si>
    <t>TRISFASICO ZONA 4</t>
  </si>
  <si>
    <t>TRI_Z5</t>
  </si>
  <si>
    <t>TRISFASICO ZONA 5</t>
  </si>
  <si>
    <t>VALRET</t>
  </si>
  <si>
    <t>VALVULA RETENCION</t>
  </si>
  <si>
    <t>VALV</t>
  </si>
  <si>
    <t>VALVULA</t>
  </si>
  <si>
    <t>SEÑAL</t>
  </si>
  <si>
    <t>Señal</t>
  </si>
  <si>
    <t>SOBRETENSION</t>
  </si>
  <si>
    <t>Seccionador de linea</t>
  </si>
  <si>
    <t>Seccionador de trafo</t>
  </si>
  <si>
    <t>FALTA TENSION ALTERNA RECTIFICADOR 110</t>
  </si>
  <si>
    <t>FALTA TENSION ALTERNA RECTIFICADOR 48</t>
  </si>
  <si>
    <t>FALTA TENSION CONTINUA COMUNICACIÓN</t>
  </si>
  <si>
    <t>FALTA TENSION CONTINUA PROTECCION</t>
  </si>
  <si>
    <t>LLAVE</t>
  </si>
  <si>
    <t>IED de sobrecorriente 132kv señal cableada</t>
  </si>
  <si>
    <t>IED de sobrecorriente 13kv señal cableada</t>
  </si>
  <si>
    <t>IED de sobrecorriente 33kv señal cableada</t>
  </si>
  <si>
    <t>IED de sobrecorriente señal cableada</t>
  </si>
  <si>
    <t>Interruptor señal cableada</t>
  </si>
  <si>
    <t>Reconectador  de 13kv señal cableada</t>
  </si>
  <si>
    <t>Reconectador  de 33kv señal cableada</t>
  </si>
  <si>
    <t>Reconectador señal cableada</t>
  </si>
  <si>
    <t>Rectificador señal cableada</t>
  </si>
  <si>
    <t>FALTA TENSION CONTINUA SEÑALIZACION</t>
  </si>
  <si>
    <t>Seccionador de barra</t>
  </si>
  <si>
    <t>Seccionador de barra transferencia</t>
  </si>
  <si>
    <t>Seccionador de barra transferencia lado barra</t>
  </si>
  <si>
    <t>Seccionador de barra transferencia lado linea</t>
  </si>
  <si>
    <t>FALTA TENSION CONTINUA DE COMANDO</t>
  </si>
  <si>
    <t>VM12</t>
  </si>
  <si>
    <t>ETVMN LATVMS Estado Seccionador Barra</t>
  </si>
  <si>
    <t>ETVMN LATVMS Estado Seccionador Barra Transf</t>
  </si>
  <si>
    <t>ETVMN LATVMS Estado Interruptor</t>
  </si>
  <si>
    <t>ETVMN LATVMS Estado Seccionador Linea</t>
  </si>
  <si>
    <t>ETVMN LATVMS Estado Seccionador PAT</t>
  </si>
  <si>
    <t>ETVMN LATVMS Tension de Comando</t>
  </si>
  <si>
    <t>ETVMN LATVMS Discordancia de Polos</t>
  </si>
  <si>
    <t>ETVMN LATVMS Estado llave</t>
  </si>
  <si>
    <t>ETVMN LATVMS Arranque Cierre Sobre falla</t>
  </si>
  <si>
    <t>ETVMN LATVMS Arranque Cierre Sobre falla Fase R</t>
  </si>
  <si>
    <t>ETVMN LATVMS Arranque Cierre Sobre falla Fase S</t>
  </si>
  <si>
    <t>ETVMN LATVMS Arranque Cierre Sobre falla Fase T</t>
  </si>
  <si>
    <t>ETVMN LATVMS Cierre sobre falla de Linea</t>
  </si>
  <si>
    <t>ETVMN LATVMS Arranque Proteccion Distancia</t>
  </si>
  <si>
    <t>ETVMN LATVMS Arranque Proteccion Distancia Fase R</t>
  </si>
  <si>
    <t>ETVMN LATVMS Arranque Proteccion Distancia Fase S</t>
  </si>
  <si>
    <t>ETVMN LATVMS Arranque Proteccion Distancia Fase T</t>
  </si>
  <si>
    <t>ETVMN LATVMS Arranque Proteccion Distancia Tierra</t>
  </si>
  <si>
    <t xml:space="preserve">ETVMN LATVMS Arranque Solo fase R </t>
  </si>
  <si>
    <t>ETVMN LATVMS Arranque R-TI  de Linea</t>
  </si>
  <si>
    <t xml:space="preserve">ETVMN LATVMS Arranque Solo fase S </t>
  </si>
  <si>
    <t>ETVMN LATVMS Arranque S-TI  de Linea</t>
  </si>
  <si>
    <t>ETVMN LATVMS Arranque R-S  de Linea</t>
  </si>
  <si>
    <t>ETVMN LATVMS Arranque R-S-TI  de Linea</t>
  </si>
  <si>
    <t xml:space="preserve">ETVMN LATVMS Arranque Solo fase T </t>
  </si>
  <si>
    <t>ETVMN LATVMS Arranque T-TI  de Linea</t>
  </si>
  <si>
    <t>ETVMN LATVMS Arranque R-T  de Linea</t>
  </si>
  <si>
    <t>ETVMN LATVMS Arranque R-T-TI  de Linea</t>
  </si>
  <si>
    <t>ETVMN LATVMS Arranque S-T  de Linea</t>
  </si>
  <si>
    <t>ETVMN LATVMS Arranque S-T-TI  de Linea</t>
  </si>
  <si>
    <t>ETVMN LATVMS Arranque R-S-T  de Linea</t>
  </si>
  <si>
    <t>ETVMN LATVMS Arranque R-S-T-TI  de Linea</t>
  </si>
  <si>
    <t xml:space="preserve">ETVMN LATVMS Arranque Adelante </t>
  </si>
  <si>
    <t xml:space="preserve">ETVMN LATVMS Arranque Reverso </t>
  </si>
  <si>
    <t>ETVMN LATVMS Disparo Proteccion Distancia</t>
  </si>
  <si>
    <t xml:space="preserve">ETVMN LATVMS Disparo distancia Fase R </t>
  </si>
  <si>
    <t xml:space="preserve">ETVMN LATVMS Disparo distancia Fase S </t>
  </si>
  <si>
    <t xml:space="preserve">ETVMN LATVMS Disparo distancia Fase T </t>
  </si>
  <si>
    <t xml:space="preserve">ETVMN LATVMS Disparo diastancia Trifasico </t>
  </si>
  <si>
    <t xml:space="preserve">ETVMN LATVMS Disparo Trifasico Zona 4 </t>
  </si>
  <si>
    <t xml:space="preserve">ETVMN LATVMS Disparo Trifasico Zona 5 </t>
  </si>
  <si>
    <t xml:space="preserve">ETVMN LATVMS Disparo Monofasico Z1 </t>
  </si>
  <si>
    <t xml:space="preserve">ETVMN LATVMS Disparo Monofasico Z1B </t>
  </si>
  <si>
    <t xml:space="preserve">ETVMN LATVMS Disparo Monofasico Z2 </t>
  </si>
  <si>
    <t xml:space="preserve">ETVMN LATVMS Disparo Trifasico Zona 2 </t>
  </si>
  <si>
    <t xml:space="preserve">ETVMN LATVMS Disparo Trifasico Zona 3 </t>
  </si>
  <si>
    <t xml:space="preserve">ETVMN LATVMS Disparo Adelante </t>
  </si>
  <si>
    <t xml:space="preserve">ETVMN LATVMS Disparo Reversa </t>
  </si>
  <si>
    <t>ETVMN LATVMS Disparo Trifasico Z1 falla mono</t>
  </si>
  <si>
    <t>ETVMN LATVMS Disparo Trifasico Z1 falla multi</t>
  </si>
  <si>
    <t>ETVMN LATVMS Disparo Trifasico Z1B falla mono</t>
  </si>
  <si>
    <t>ETVMN LATVMS Disparo Trifasico Z1B falla multi</t>
  </si>
  <si>
    <t>ETVMN LATVMS Recierre Bloqueado de Linea</t>
  </si>
  <si>
    <t>ETVMN LATVMS Recierre no Listo de Linea</t>
  </si>
  <si>
    <t>ETVMN LATVMS Int no listo para recierre</t>
  </si>
  <si>
    <t>ETVMN LATVMS Recierre en progreso de Linea</t>
  </si>
  <si>
    <t>ETVMN LATVMS Comando de cierre de Linea</t>
  </si>
  <si>
    <t>ETVMN LATVMS Recierre exitoso de Linea</t>
  </si>
  <si>
    <t>ETVMN LATVMS Disparo definitivo</t>
  </si>
  <si>
    <t xml:space="preserve">ETVMN LATVMS Disparo definitivo trifasico </t>
  </si>
  <si>
    <t>ETVMN LATVMS Disparo general sobrecorriente</t>
  </si>
  <si>
    <t>ETVMN LATVMS Falla Interruptor DNP</t>
  </si>
  <si>
    <t>ETVMN LATVMS Estado Rele de Linea</t>
  </si>
  <si>
    <t xml:space="preserve">ETVMN LATVMS Arranque General </t>
  </si>
  <si>
    <t xml:space="preserve">ETVMN LATVMS Disparo General </t>
  </si>
  <si>
    <t xml:space="preserve">ETVMN LATVMS Disparo General Fase R </t>
  </si>
  <si>
    <t xml:space="preserve">ETVMN LATVMS Disparo General Fase S </t>
  </si>
  <si>
    <t xml:space="preserve">ETVMN LATVMS Disparo General Fase T </t>
  </si>
  <si>
    <t>ETVMN LATVMS Llave de Rele de Linea</t>
  </si>
  <si>
    <t>ETVMN LATVMS Recepcion Teleprot de Linea</t>
  </si>
  <si>
    <t>ETVMN LATVMS Envio Teleprot de Linea</t>
  </si>
  <si>
    <t>ETVMN LATVMS Estado Recierre de Linea</t>
  </si>
  <si>
    <t xml:space="preserve">ETVMN LATVMS Corriente Fase R  </t>
  </si>
  <si>
    <t xml:space="preserve">ETVMN LATVMS Corriente Fase S  </t>
  </si>
  <si>
    <t xml:space="preserve">ETVMN LATVMS Corriente Fase T  </t>
  </si>
  <si>
    <t xml:space="preserve">ETVMN LATVMS Tension  </t>
  </si>
  <si>
    <t xml:space="preserve">ETVMN LATVMS Potencia Activa  </t>
  </si>
  <si>
    <t xml:space="preserve">ETVMN LATVMS Potencia Reactiva  </t>
  </si>
  <si>
    <t xml:space="preserve">ETVMN LATVMS Distancia Falla  </t>
  </si>
  <si>
    <t xml:space="preserve">ETVMN LATVMS Corriente Tierra </t>
  </si>
  <si>
    <t xml:space="preserve">ETVMN LATVMS Tension R  </t>
  </si>
  <si>
    <t xml:space="preserve">ETVMN LATVMS Tension S  </t>
  </si>
  <si>
    <t xml:space="preserve">ETVMN LATVMS Tension T  </t>
  </si>
  <si>
    <t xml:space="preserve">ETVMN LATVMS Tension RS  </t>
  </si>
  <si>
    <t xml:space="preserve">ETVMN LATVMS ST Tension  </t>
  </si>
  <si>
    <t xml:space="preserve">ETVMN LATVMS TR Tension  </t>
  </si>
  <si>
    <t xml:space="preserve">ETVMN LATVMS Frecuencia  </t>
  </si>
  <si>
    <t xml:space="preserve">ETVMN LATVMS Potencia Aparente  </t>
  </si>
  <si>
    <t xml:space="preserve">ETVMN LATVMS Tension N  </t>
  </si>
  <si>
    <t>LATVMS</t>
  </si>
  <si>
    <t>DISCORDANCIA DE POLO</t>
  </si>
  <si>
    <t>FASE ST</t>
  </si>
  <si>
    <t>COMANDO DE CIERRE</t>
  </si>
  <si>
    <t>INTERRUPTOR NO LISTO</t>
  </si>
  <si>
    <t>_52_NOLISTO</t>
  </si>
  <si>
    <t>_DEF</t>
  </si>
  <si>
    <t>_DEF_TRI</t>
  </si>
  <si>
    <t>_CICDO</t>
  </si>
  <si>
    <t xml:space="preserve">ETVMN LATVMS Arranque I&gt; </t>
  </si>
  <si>
    <t xml:space="preserve">ETVMN LATVMS Arranque I&gt; Fase R </t>
  </si>
  <si>
    <t xml:space="preserve">ETVMN LATVMS Arranque I&gt; Fase S </t>
  </si>
  <si>
    <t xml:space="preserve">ETVMN LATVMS Arranque I&gt; Fase T </t>
  </si>
  <si>
    <t xml:space="preserve">ETVMN LATVMS Arranque Io&gt; </t>
  </si>
  <si>
    <t xml:space="preserve">ETVMN LATVMS Disparo I&gt; Trifasico </t>
  </si>
  <si>
    <t xml:space="preserve">ETVMN LATVMS Disparo I&gt;&gt; </t>
  </si>
  <si>
    <t xml:space="preserve">ETVMN LATVMS Disparo I&gt;&gt;&gt; </t>
  </si>
  <si>
    <t xml:space="preserve">ETVMN LATVMS Disparo I&gt; </t>
  </si>
  <si>
    <t>KM</t>
  </si>
  <si>
    <t>DISTANCIA DE FALLA</t>
  </si>
  <si>
    <t>ETVMN TR3 Estado Interruptor 132kv</t>
  </si>
  <si>
    <t>ETVMN TR3 Estado Seccionador Barra 132kv</t>
  </si>
  <si>
    <t>ETVMN TR3 Estado seccionador Trafo 132kv</t>
  </si>
  <si>
    <t>ETVMN TR3 Estado RBC</t>
  </si>
  <si>
    <t>ETVMN TR3 Cambiar Posicion RBC</t>
  </si>
  <si>
    <t>ETVMN TR3 Estado Ventiladores</t>
  </si>
  <si>
    <t>ETVMN TR3 Ventiladores</t>
  </si>
  <si>
    <t>ETVMN TR3 Estado Interruptor 33kv</t>
  </si>
  <si>
    <t>ETVMN TR3 Estado Seccionador 33kv</t>
  </si>
  <si>
    <t>ETVMN TR3 Estado de Carro 33kv</t>
  </si>
  <si>
    <t>ETVMN TR3 Tension de Comando 33kv</t>
  </si>
  <si>
    <t>ETVMN TR3 Estado Llave 33kv</t>
  </si>
  <si>
    <t>ETVMN TR3 Estado Interruptor 13kv</t>
  </si>
  <si>
    <t>ETVMN TR3 Estado Llave 132KV</t>
  </si>
  <si>
    <t>ETVMN TR3 Estado Llave 13kv</t>
  </si>
  <si>
    <t>ETVMN TR3 Tension de Comando 132kv</t>
  </si>
  <si>
    <t>ETVMN TR3 Falta tension Alterna 33kv</t>
  </si>
  <si>
    <t>ETVMN TR3 Tension de Comando 13kv</t>
  </si>
  <si>
    <t>ETVMN TR3 Estado Rele Dif</t>
  </si>
  <si>
    <t>ETVMN TR3 Arranque General Rele Dif</t>
  </si>
  <si>
    <t>ETVMN TR3 Disparo General Rele Dif</t>
  </si>
  <si>
    <t>ETVMN TR3 Arranque Rele Dif</t>
  </si>
  <si>
    <t>ETVMN TR3 Disparo Rele Dif</t>
  </si>
  <si>
    <t>ETVMN TR3 Disparo Fase R Rele Dif</t>
  </si>
  <si>
    <t>ETVMN TR3 Disparo Fase S Rele Dif</t>
  </si>
  <si>
    <t>ETVMN TR3 Disparo Fase T Rele Dif</t>
  </si>
  <si>
    <t>ETVMN TR3 Disparo Temporizado Rele Dif</t>
  </si>
  <si>
    <t>ETVMN TR3 Disparo Instantaneo Rele Dif</t>
  </si>
  <si>
    <t>ETVMN TR3 Arranque Sobrecorriente Rele Dif</t>
  </si>
  <si>
    <t>ETVMN TR3 Disparo Sobrecorriente Rele Dif</t>
  </si>
  <si>
    <t>ETVMN TR3 Arranque I&gt; Rele Dif Fase R</t>
  </si>
  <si>
    <t>ETVMN TR3 Arranque I&gt; Rele Dif Fase S</t>
  </si>
  <si>
    <t>ETVMN TR3 Arranque I&gt; Rele Dif Fase T</t>
  </si>
  <si>
    <t>ETVMN TR3 Disparo I&gt;&gt; Rele Dif</t>
  </si>
  <si>
    <t>ETVMN TR3 Arranque I&gt; Rele Dif</t>
  </si>
  <si>
    <t>ETVMN TR3 Disparo I&gt; Rele Dif</t>
  </si>
  <si>
    <t>ETVMN TR3 Disparo Io&gt;&gt; Rele Dif</t>
  </si>
  <si>
    <t>ETVMN TR3 Arranque Io&gt; Rele Dif</t>
  </si>
  <si>
    <t>ETVMN TR3 Disparo Io&gt; Rele Dif</t>
  </si>
  <si>
    <t>ETVMN TR3 Arranque Sobrecorr Tierra Cuba Rele Dif</t>
  </si>
  <si>
    <t>ETVMN TR3 Disapro Io&gt;&gt; Cuba Rele Diferencia</t>
  </si>
  <si>
    <t>ETVMN TR3 Arranque Io&gt; Cuba Rele Diferencia</t>
  </si>
  <si>
    <t>ETVMN TR3 Disparo Io&gt; Cuba Rele Dif</t>
  </si>
  <si>
    <t>ETVMN TR3 Sobrecarga Trafo Rele Dif</t>
  </si>
  <si>
    <t>ETVMN TR3 Alarma Buchholz Rele Dif</t>
  </si>
  <si>
    <t>ETVMN TR3 Alarma Temperatura Rele Dif</t>
  </si>
  <si>
    <t>ETVMN TR3 Alarma Nivel de Aceite Rele Dif</t>
  </si>
  <si>
    <t>ETVMN TR3 Alarma Imagen Termica 132kv Rele Dif</t>
  </si>
  <si>
    <t>ETVMN TR3 Alarma Imagen Termica 33kv Rele Dif</t>
  </si>
  <si>
    <t>ETVMN TR3 Alarma Imagen Termica 13.2kv Rele Dif</t>
  </si>
  <si>
    <t>ETVMN TR3 Alarma Nivel de Aceite RBC Rele Dif</t>
  </si>
  <si>
    <t>ETVMN TR3 Alarma Buchholz RBC Rele Dif</t>
  </si>
  <si>
    <t>ETVMN TR3 Disparo Buchholz Rele Dif</t>
  </si>
  <si>
    <t>ETVMN TR3 Disparo Temperatura Rele Dif</t>
  </si>
  <si>
    <t>ETVMN TR3 Disparo Nivel de Aceite Rele Dif</t>
  </si>
  <si>
    <t>ETVMN TR3 Disparo Imagen Termica 132kv Rele Dif</t>
  </si>
  <si>
    <t>ETVMN TR3 Disparo Imagen Termica 33kv Rele Dif</t>
  </si>
  <si>
    <t>ETVMN TR3 Disparo Imagen Termica 13.2kv Rele Dif</t>
  </si>
  <si>
    <t>ETVMN TR3 Disparo Nivel de Aceite RBC Rele Dif</t>
  </si>
  <si>
    <t>ETVMN TR3 Disparo Buchholz RBC Rele Dif</t>
  </si>
  <si>
    <t xml:space="preserve">ETVMN TR3 Corriente Fase R 132kv </t>
  </si>
  <si>
    <t xml:space="preserve">ETVMN TR3 Corriente Fase S 132kv </t>
  </si>
  <si>
    <t xml:space="preserve">ETVMN TR3 Corriente Fase T 132kv </t>
  </si>
  <si>
    <t xml:space="preserve">ETVMN TR3 Corriente Fase R 33kv </t>
  </si>
  <si>
    <t xml:space="preserve">ETVMN TR3 Corriente Fase S 33kv </t>
  </si>
  <si>
    <t xml:space="preserve">ETVMN TR3 Corriente Fase T 33kv </t>
  </si>
  <si>
    <t xml:space="preserve">ETVMN TR3 Corriente Fase R 13kv </t>
  </si>
  <si>
    <t xml:space="preserve">ETVMN TR3 Corriente Fase S 13kv </t>
  </si>
  <si>
    <t xml:space="preserve">ETVMN TR3 Corriente Fase T 13kv </t>
  </si>
  <si>
    <t xml:space="preserve">ETVMN TR3 Corriente Cuba Tierra </t>
  </si>
  <si>
    <t xml:space="preserve">ETVMN TR3 Tension </t>
  </si>
  <si>
    <t xml:space="preserve">ETVMN TR3 Frecuencia </t>
  </si>
  <si>
    <t xml:space="preserve">ETVMN TR3 Corriente Diferencial Fase R </t>
  </si>
  <si>
    <t xml:space="preserve">ETVMN TR3 Corriente Diferencial Fase S </t>
  </si>
  <si>
    <t xml:space="preserve">ETVMN TR3 Corriente Diferencial Fase T </t>
  </si>
  <si>
    <t xml:space="preserve">ETVMN TR3 Corriente Restrain Fase R </t>
  </si>
  <si>
    <t xml:space="preserve">ETVMN TR3 Corriente Restrain Fase S </t>
  </si>
  <si>
    <t xml:space="preserve">ETVMN TR3 Corriente Restrain Fase T </t>
  </si>
  <si>
    <t xml:space="preserve">ETVMN TR3 Posicion RBC </t>
  </si>
  <si>
    <t>ETVMN TR3 Disparo I&gt;&gt; 13KV Ent 1</t>
  </si>
  <si>
    <t>ETVMN TR3 Disparo Io&gt;&gt; 13KV Ent 1</t>
  </si>
  <si>
    <t>ETVMN TR3 Arranque I&gt; 13KV Ent 1</t>
  </si>
  <si>
    <t>ETVMN TR3 Disparo I&gt; 13KV Ent 1</t>
  </si>
  <si>
    <t>ETVMN TR3 Disparo General 13KV Ent 1</t>
  </si>
  <si>
    <t>ETVMN TR3 Arranque Io&gt;  13KV Ent 1</t>
  </si>
  <si>
    <t>ETVMN TR3 Disparo Io&gt;  13KV Ent 1</t>
  </si>
  <si>
    <t>ETVMN TR3 Disparo I&gt;&gt;  132kv</t>
  </si>
  <si>
    <t>ETVMN TR3 Arr Sobrecor Tierra  132kv</t>
  </si>
  <si>
    <t>ETVMN TR3 Arr Sobrecor Fase R  132kv</t>
  </si>
  <si>
    <t>ETVMN TR3 Arr Sobrecor Fase S  132kv</t>
  </si>
  <si>
    <t>ETVMN TR3 Arr Sobrecor Fase T  132kv</t>
  </si>
  <si>
    <t>ETVMN TR3 Disparo Io&gt;&gt;  132kv</t>
  </si>
  <si>
    <t>ETVMN TR3 Arranque I&gt;  132kv</t>
  </si>
  <si>
    <t>ETVMN TR3 Disparo I&gt;  132kv</t>
  </si>
  <si>
    <t>ETVMN TR3 Disparo General  132kv</t>
  </si>
  <si>
    <t>ETVMN TR3 Canal DNP Prot Sobrec OK 132kv</t>
  </si>
  <si>
    <t>ETVMN TR3 Arranque Io&gt;  132kv</t>
  </si>
  <si>
    <t>ETVMN TR3 Disapro Io&gt;  132kv</t>
  </si>
  <si>
    <t>ETVMN TR3 Corriente Fase R Resp 132kv</t>
  </si>
  <si>
    <t>ETVMN TR3 Corriente Fase S Resp 132kv</t>
  </si>
  <si>
    <t>ETVMN TR3 Corriente Fase T Resp 132kv</t>
  </si>
  <si>
    <t>ETVMN TR3 Corriente Tierra Resp 132kv</t>
  </si>
  <si>
    <t>ETVMN TR3 Tension Fase R Resp 132kv</t>
  </si>
  <si>
    <t>ETVMN TR3 Tension Fase S Resp 132kv</t>
  </si>
  <si>
    <t>ETVMN TR3 Tension Fase T Resp 132kv</t>
  </si>
  <si>
    <t>ETVMN TR3 Potencia Activa Resp 132kv</t>
  </si>
  <si>
    <t>ETVMN TR3 Potencia Reactiva Resp 132kv</t>
  </si>
  <si>
    <t>ETVMN TR3 Potencia Aparente Resp 132kv</t>
  </si>
  <si>
    <t xml:space="preserve">ETVMN TR3 Corriente Tierra 132kv </t>
  </si>
  <si>
    <t xml:space="preserve">ETVMN TR3 Tension Fase R 132kv </t>
  </si>
  <si>
    <t xml:space="preserve">ETVMN TR3 Tension Fase S 132kv </t>
  </si>
  <si>
    <t xml:space="preserve">ETVMN TR3 Tension Fase T 132kv </t>
  </si>
  <si>
    <t xml:space="preserve">ETVMN TR3 Pot Activa 132kv </t>
  </si>
  <si>
    <t xml:space="preserve">ETVMN TR3 Pot Reactiva 132kv </t>
  </si>
  <si>
    <t xml:space="preserve">ETVMN TR3 Pot Aparente 132kv </t>
  </si>
  <si>
    <t>ETVMN TR3 Estad Llave Ent 1 13kv</t>
  </si>
  <si>
    <t>ETVMN TR3 Estado Interruptor Ent 1 13kv</t>
  </si>
  <si>
    <t>ETVMN TR3 Alarma de Iluminacion Campo 132kv</t>
  </si>
  <si>
    <t>ETVMN TR3 Supervision circuito de Apertura 1 132kv</t>
  </si>
  <si>
    <t>ETVMN TR3 Supervision circuito de Apertura 2 132kv</t>
  </si>
  <si>
    <t>ETVMN TR3 Falta Fuerza Motriz Interruptor 132kv</t>
  </si>
  <si>
    <t>ETVMN TR3 Baja Presion SF6 de Interruptor 132kv</t>
  </si>
  <si>
    <t>ETVMN TR3 Bloqueo por SF6 de Interruptor 132kv</t>
  </si>
  <si>
    <t>ETVMN TR3 Llave Interruptor 132kv</t>
  </si>
  <si>
    <t>ETVMN TR3 Puerta Abierta Interruptor 132kv</t>
  </si>
  <si>
    <t>ETVMN TR3 Resorte Descargado 132kv</t>
  </si>
  <si>
    <t>ETVMN TR3 Tension Comando Interruptor 132kv</t>
  </si>
  <si>
    <t>ETVMN TR3 Falta fuerza motriz Secc Barra 132kv</t>
  </si>
  <si>
    <t>ETVMN TR3 Llave Seccionador Barra 132kv</t>
  </si>
  <si>
    <t>ETVMN TR3 Tension Comando Seccionador Barra 132kv</t>
  </si>
  <si>
    <t xml:space="preserve">ETVMN TR3 Corriente R 13kv Ent1 </t>
  </si>
  <si>
    <t xml:space="preserve">ETVMN TR3 Corriente S 13kv Ent1 </t>
  </si>
  <si>
    <t xml:space="preserve">ETVMN TR3 Corriente T 13kv Ent1 </t>
  </si>
  <si>
    <t xml:space="preserve">ETVMN TR3 Corriente R 13kv Ent2 </t>
  </si>
  <si>
    <t xml:space="preserve">ETVMN TR3 Corriente S 13kv Ent2 </t>
  </si>
  <si>
    <t xml:space="preserve">ETVMN TR3 Corriente T 13kv Ent2 </t>
  </si>
  <si>
    <t>ETVMN TR3 Corriente Fase R  Ent1</t>
  </si>
  <si>
    <t>ETVMN TR3 Corriente Fase S  Ent1</t>
  </si>
  <si>
    <t>ETVMN TR3 Corriente Fase T  Ent1</t>
  </si>
  <si>
    <t>ETVMN TR3 Corriente Tierra  Ent1</t>
  </si>
  <si>
    <t>ETVMN TR3 Tension Fase R  Ent1</t>
  </si>
  <si>
    <t>ETVMN TR3 Tension Fase S  Ent1</t>
  </si>
  <si>
    <t>ETVMN TR3 Tension Fase T  Ent1</t>
  </si>
  <si>
    <t>ETVMN TR3 Potencia Activa  Ent1</t>
  </si>
  <si>
    <t>ETVMN TR3 Potencia Reactiva  Ent1</t>
  </si>
  <si>
    <t>ETVMN TR3 Potencia Aparente  Ent1</t>
  </si>
  <si>
    <t>ETVMN TR3 Corriente Fase R de Med Ent 1 13kv</t>
  </si>
  <si>
    <t>ETVMN TR3 Corriente Fase S de Med Ent 1 13kv</t>
  </si>
  <si>
    <t>ETVMN TR3 Corriente Fase T de Med Ent 1 13kv</t>
  </si>
  <si>
    <t>ETVMN TR3 Corriente Tierra de Med Ent 1 13kv</t>
  </si>
  <si>
    <t>ETVMN TR3 Tension R de Med Ent 1 13kv</t>
  </si>
  <si>
    <t>ETVMN TR3 Tension S de Med Ent 1 13kv</t>
  </si>
  <si>
    <t>ETVMN TR3 Tension T de Med Ent 1 13kv</t>
  </si>
  <si>
    <t>ETVMN TR3 Potencia Activa de Med Ent 1 13kv</t>
  </si>
  <si>
    <t>ETVMN TR3 Potencia React de Med Ent 1 13kv</t>
  </si>
  <si>
    <t>ETVMN TR3 Potencia Ap de Med Ent 1 13kv</t>
  </si>
  <si>
    <t>ETVMN TR3 Corriente Fase R de Med Ent 2 13kv</t>
  </si>
  <si>
    <t>ETVMN TR3 Corriente Fase S de Med Ent 2 13kv</t>
  </si>
  <si>
    <t>ETVMN TR3 Corriente Fase T de Med Ent 2 13kv</t>
  </si>
  <si>
    <t>ETVMN TR3 Corriente Tierra de Med Ent 2 13kv</t>
  </si>
  <si>
    <t>ETVMN TR3 Tension R de Med Ent 2 13kv</t>
  </si>
  <si>
    <t>ETVMN TR3 Tension S de Med Ent 2 13kv</t>
  </si>
  <si>
    <t>ETVMN TR3 Tension T de Med Ent 2 13kv</t>
  </si>
  <si>
    <t>ETVMN TR3 Potencia Activa de Med Ent 2 13kv</t>
  </si>
  <si>
    <t>ETVMN TR3 Potencia React de Med Ent 2 13kv</t>
  </si>
  <si>
    <t>ETVMN TR3 Potencia Ap de Med Ent 2 13kv</t>
  </si>
  <si>
    <t>ETVMN TR3 Corriente Falla R  Ent1</t>
  </si>
  <si>
    <t>ETVMN TR3 Corriente Falla S  Ent1</t>
  </si>
  <si>
    <t>ETVMN TR3 Corriente Falla T  Ent1</t>
  </si>
  <si>
    <t>ETVMN TR3 Corriente Falla N  Ent1</t>
  </si>
  <si>
    <t xml:space="preserve">ETVMN TR3 Corriente Tierra 33kv </t>
  </si>
  <si>
    <t xml:space="preserve">ETVMN TR3 Tension Fase R 33kv </t>
  </si>
  <si>
    <t xml:space="preserve">ETVMN TR3 Tension Fase S 33kv </t>
  </si>
  <si>
    <t xml:space="preserve">ETVMN TR3 Tension Fase T 33kv </t>
  </si>
  <si>
    <t xml:space="preserve">ETVMN TR3 Factor de Potencia 33kv </t>
  </si>
  <si>
    <t xml:space="preserve">ETVMN TR3 Potencia Activa 33kv </t>
  </si>
  <si>
    <t xml:space="preserve">ETVMN TR3 Potencia Reactiva 33kv </t>
  </si>
  <si>
    <t xml:space="preserve">ETVMN TR3 Potencia Aparente 33kv </t>
  </si>
  <si>
    <t xml:space="preserve">ETVMN TR3 Corriente Falla R 33kv </t>
  </si>
  <si>
    <t xml:space="preserve">ETVMN TR3 Corriente Falla S 33kv </t>
  </si>
  <si>
    <t xml:space="preserve">ETVMN TR3 Corriente Falla T 33kv </t>
  </si>
  <si>
    <t xml:space="preserve">ETVMN TR3 Corriente de Falla Tierra 33kv </t>
  </si>
  <si>
    <t xml:space="preserve">ETVMN TR3 Corriente Tierra 13kv </t>
  </si>
  <si>
    <t xml:space="preserve">ETVMN TR3 Tension Fase R 13kv </t>
  </si>
  <si>
    <t xml:space="preserve">ETVMN TR3 Tension Fase S 13kv </t>
  </si>
  <si>
    <t xml:space="preserve">ETVMN TR3 Tension Fase T 13kv </t>
  </si>
  <si>
    <t xml:space="preserve">ETVMN TR3 Factor de Potencia 13kv </t>
  </si>
  <si>
    <t xml:space="preserve">ETVMN TR3 Potencia Activa 13kv </t>
  </si>
  <si>
    <t xml:space="preserve">ETVMN TR3 Potencia Reactiva 13kv </t>
  </si>
  <si>
    <t xml:space="preserve">ETVMN TR3 Potencia Aparente 13kv </t>
  </si>
  <si>
    <t>ETVMN TR3 Arranque I&gt; Fase R 13KV Ent 1</t>
  </si>
  <si>
    <t>ETVMN TR3 Arranque I&gt; Fase S 13KV Ent 1</t>
  </si>
  <si>
    <t>ETVMN TR3 Arranque I&gt; Fase T 13KV Ent 1</t>
  </si>
  <si>
    <t>ETVMN TR3 Arranque I&gt; Tierra Ent 1 13kv</t>
  </si>
  <si>
    <t>ETVMN TR3 Tension Comando Ent 1 13kv</t>
  </si>
  <si>
    <t>ETVMN TR3 Falta Corriente Medicion Ent 1 13kv</t>
  </si>
  <si>
    <t>ETVMN TR3 Disparo General  33kv</t>
  </si>
  <si>
    <t>ETVMN TR3 Arranque I&gt; Fase R 33kv</t>
  </si>
  <si>
    <t>ETVMN TR3 Arranque I&gt; Fase S 33kv</t>
  </si>
  <si>
    <t>ETVMN TR3 Arranque I&gt; Fase T 33kv</t>
  </si>
  <si>
    <t>ETVMN TR3 Arranque I&gt; Tierra 33kv</t>
  </si>
  <si>
    <t>ETVMN TR3 Arranque I&gt;  33kv</t>
  </si>
  <si>
    <t>ETVMN TR3 Disparo I&gt;  33kv</t>
  </si>
  <si>
    <t>ETVMN TR3 Disparo I&gt;&gt;  33kv</t>
  </si>
  <si>
    <t>ETVMN TR3 Arranque Io&gt;  33kv</t>
  </si>
  <si>
    <t>ETVMN TR3 Disparo Io&gt;  33kv</t>
  </si>
  <si>
    <t>ETVMN TR3 Disparo Io&gt;&gt;  33kv</t>
  </si>
  <si>
    <t>ETVMN TR3 Disparo General 13kv</t>
  </si>
  <si>
    <t>ETVMN TR3 Arranque I&gt; Fase R 13kv</t>
  </si>
  <si>
    <t>ETVMN TR3 Arranque I&gt; Fase S 13kv</t>
  </si>
  <si>
    <t>ETVMN TR3 Arranque I&gt; Fase T 13kv</t>
  </si>
  <si>
    <t>ETVMN TR3 Arranque I&gt; Tierra 13kv</t>
  </si>
  <si>
    <t>ETVMN TR3 Arranque I&gt; 13kv</t>
  </si>
  <si>
    <t>ETVMN TR3 Disparo I&gt; 13kv</t>
  </si>
  <si>
    <t>ETVMN TR3 Disparo I&gt;&gt; 13kv</t>
  </si>
  <si>
    <t>ETVMN TR3 Arranque Io&gt;  13kv</t>
  </si>
  <si>
    <t>ETVMN TR3 Disparo Io&gt;  13kv</t>
  </si>
  <si>
    <t>ETVMN TR3 Disparo Io&gt;&gt; 13kv</t>
  </si>
  <si>
    <t>ETVMN TR3 Tension de Medicion 13kv</t>
  </si>
  <si>
    <t xml:space="preserve">ETVMN TR3 Ent 1 13,2kv Tens Fase R-S </t>
  </si>
  <si>
    <t xml:space="preserve">ETVMN TR3 Ent 1 13,2kv Tens Fase S-T </t>
  </si>
  <si>
    <t xml:space="preserve">ETVMN TR3 Ent 1 13,2kv Tens Fase T-R </t>
  </si>
  <si>
    <t xml:space="preserve">ETVMN TR3 Ent 1 13,2kv Factor de Pot </t>
  </si>
  <si>
    <t>ETVMN TR3 Estado Interruptor 13KV Ent 1</t>
  </si>
  <si>
    <t>ETVMN TR3 Estado seccionador barra 13KV Ent 1</t>
  </si>
  <si>
    <t>ETVMN TR3 Estado PAT 13KV Ent 1</t>
  </si>
  <si>
    <t>ETVMN TR3 13kv Corriente Fase R Ent 2</t>
  </si>
  <si>
    <t>ETVMN TR3 13kv Corriente Fase S Ent 2</t>
  </si>
  <si>
    <t>ETVMN TR3 13kv Corriente Fase T Ent 2</t>
  </si>
  <si>
    <t>ETVMN TR3 13kv Corriente Fase N Ent 2</t>
  </si>
  <si>
    <t>ETVMN TR3 13kv Frecuencia Ent 2</t>
  </si>
  <si>
    <t>ETVMN TR3 13kv Potencia activa Ent 2</t>
  </si>
  <si>
    <t>ETVMN TR3 13kv Potencia reactiva Ent 2</t>
  </si>
  <si>
    <t>ETVMN TR3 13kv Potencia aparente Ent 2</t>
  </si>
  <si>
    <t>ETVMN TR3 13kv Factor de pot Ent 2</t>
  </si>
  <si>
    <t>ETVMN TR3 13kv Tension RS Ent 2</t>
  </si>
  <si>
    <t>ETVMN TR3 13kv Tension ST Ent 2</t>
  </si>
  <si>
    <t>ETVMN TR3 13kv Tension TR Ent 2</t>
  </si>
  <si>
    <t>ETVMN TR3 13kv Tension R Ent 2</t>
  </si>
  <si>
    <t>ETVMN TR3 13kv Tension S Ent 2</t>
  </si>
  <si>
    <t>ETVMN TR3 13kv Tension T Ent 2</t>
  </si>
  <si>
    <t>ETVMN TR3 13kv Tension N Ent 2</t>
  </si>
  <si>
    <t>ETVMN TR3 1-2FLTRFRC1_HZ</t>
  </si>
  <si>
    <t>ETVMN TR3 1-2FLTRFRC1_StrDur</t>
  </si>
  <si>
    <t>ETVMN TR3 1-2FLTRFRC1_StrOpTm</t>
  </si>
  <si>
    <t>ETVMN TR3 13kv Corrinete de falla R</t>
  </si>
  <si>
    <t>ETVMN TR3 13kv Corrinete de falla S</t>
  </si>
  <si>
    <t>ETVMN TR3 13kv Corrinete de falla T</t>
  </si>
  <si>
    <t>ETVMN TR3 13kv Corrinete de falla N</t>
  </si>
  <si>
    <t>ETVMN TR3 1-2FLTRFRC1_APhsA1</t>
  </si>
  <si>
    <t>ETVMN TR3 1-2FLTRFRC1_APhsB1</t>
  </si>
  <si>
    <t>ETVMN TR3 1-2FLTRFRC1_APhsC1</t>
  </si>
  <si>
    <t>ETVMN TR3 1-2FLTRFRC1_ARes1</t>
  </si>
  <si>
    <t>ETVMN TR3 1-2FLTRFRC1_AResClc1</t>
  </si>
  <si>
    <t>ETVMN TR3 1-2FLTRFRC1_APsSeq1</t>
  </si>
  <si>
    <t>ETVMN TR3 1-2FLTRFRC1_ANgSeq1</t>
  </si>
  <si>
    <t>ETVMN TR3 1-2FLTRFRC1_PhVPhsA1</t>
  </si>
  <si>
    <t>ETVMN TR3 1-2FLTRFRC1_PhVPhsB1</t>
  </si>
  <si>
    <t>ETVMN TR3 1-2FLTRFRC1_PhVPhsC1</t>
  </si>
  <si>
    <t>ETVMN TR3 1-2FLTRFRC1_PPVPhsAB1</t>
  </si>
  <si>
    <t>ETVMN TR3 1-2FLTRFRC1_PPVPhsBC1</t>
  </si>
  <si>
    <t>ETVMN TR3 1-2FLTRFRC1_PPVPhsCA1</t>
  </si>
  <si>
    <t>ETVMN TR3 1-2FLTRFRC1_VRes1</t>
  </si>
  <si>
    <t>ETVMN TR3 1-2FLTRFRC1_VZro1</t>
  </si>
  <si>
    <t>ETVMN TR3 1-2FLTRFRC1_VPsSeq1</t>
  </si>
  <si>
    <t>ETVMN TR3 1-2FLTRFRC1_VNgSeq1</t>
  </si>
  <si>
    <t>ETVMN TR3 1-2FLTRFRC1_PhVPhsA2</t>
  </si>
  <si>
    <t>ETVMN TR3 1-2FLTRFRC1_PPVPhsAB2</t>
  </si>
  <si>
    <t>ETVMN TR3 1-2FLTRFRC1_MaxTmpRl</t>
  </si>
  <si>
    <t>ETVMN TR3 1-2FLTRFRC1_AMaxNgPs</t>
  </si>
  <si>
    <t>ETVMN TR3 1-2FLTRFRC1_DifNAngVN1</t>
  </si>
  <si>
    <t>ETVMN TR3 1-2FLTRFRC1_DifAAngBC1</t>
  </si>
  <si>
    <t>ETVMN TR3 1-2FLTRFRC1_DifBAngCA1</t>
  </si>
  <si>
    <t>ETVMN TR3 1-2FLTRFRC1_DifCAngAB1</t>
  </si>
  <si>
    <t>ETVMN TR3 1-2FLTRFRC1_HzRteChg</t>
  </si>
  <si>
    <t>ETVMN TR3 1-2FLTRFRC1_CondNeut</t>
  </si>
  <si>
    <t>ETVMN TR3 1-2FLTRFRC1_SusNeut</t>
  </si>
  <si>
    <t>ETVMN TR3 1-2FLTRFRC1_CBClrTm</t>
  </si>
  <si>
    <t>ETVMN TR3 Arranque general 13KV Ent 2</t>
  </si>
  <si>
    <t>ETVMN TR3 Disparo General 13KV Ent 2</t>
  </si>
  <si>
    <t>ETVMN TR3 Arranque I&gt;&gt; 13KV Ent 2</t>
  </si>
  <si>
    <t>ETVMN TR3 Arranque I&gt;&gt; Fase R 13kv ent 2</t>
  </si>
  <si>
    <t>ETVMN TR3 Arranque I&gt;&gt; Fase S 13kv ent 2</t>
  </si>
  <si>
    <t>ETVMN TR3 Arranque I&gt;&gt; Fase T 13kv ent 2</t>
  </si>
  <si>
    <t>ETVMN TR3 Disparo I&gt;&gt; 13KV Ent 2</t>
  </si>
  <si>
    <t>ETVMN TR3 Disparo I&gt;&gt; Fase R 13kv ent 2</t>
  </si>
  <si>
    <t>ETVMN TR3 Disparo I&gt;&gt; Fase S 13kv ent 2</t>
  </si>
  <si>
    <t>ETVMN TR3 Disparo I&gt;&gt; Fase T 13kv ent 2</t>
  </si>
  <si>
    <t>ETVMN TR3 Arranque I&gt; 13KV Ent 2</t>
  </si>
  <si>
    <t>ETVMN TR3 Arranque I&gt; Fase R 13kv ent 2</t>
  </si>
  <si>
    <t>ETVMN TR3 Arranque I&gt; Fase S 13kv ent 2</t>
  </si>
  <si>
    <t>ETVMN TR3 Arranque I&gt; Fase T 13kv ent 2</t>
  </si>
  <si>
    <t>ETVMN TR3 Disparo I&gt; 13KV Ent 2</t>
  </si>
  <si>
    <t>ETVMN TR3 Disparo I&gt; Fase R 13kv ent 2</t>
  </si>
  <si>
    <t>ETVMN TR3 Disparo I&gt; Fase S 13kv ent 2</t>
  </si>
  <si>
    <t>ETVMN TR3 Disparo I&gt; Fase T 13kv ent 2</t>
  </si>
  <si>
    <t>ETVMN TR3 Arranque Io&gt;&gt; 13KV Ent 2</t>
  </si>
  <si>
    <t>ETVMN TR3 Disparo Io&gt;&gt; 13KV Ent 2</t>
  </si>
  <si>
    <t>ETVMN TR3 Arranque Io&gt;  13KV Ent 2</t>
  </si>
  <si>
    <t>ETVMN TR3 Disparo Io&gt;  13KV Ent 2</t>
  </si>
  <si>
    <t>ETVMN TR3 Estado llave Rele 13KV Ent 2</t>
  </si>
  <si>
    <t>ETVMN TR3 BLK de apertura int 13kv ent 2</t>
  </si>
  <si>
    <t>ETVMN TR3 BLK de cierre int 13kv ent 2</t>
  </si>
  <si>
    <t>ETVMN TR3 Led 1 13KV Ent 2</t>
  </si>
  <si>
    <t>ETVMN TR3 Led 2 13KV Ent 2</t>
  </si>
  <si>
    <t>ETVMN TR3 Led 3 13KV Ent 2</t>
  </si>
  <si>
    <t>ETVMN TR3 Led 4 13KV Ent 2</t>
  </si>
  <si>
    <t>ETVMN TR3 Led 5 13KV Ent 2</t>
  </si>
  <si>
    <t>ETVMN TR3 Led 6 13KV Ent 2</t>
  </si>
  <si>
    <t>ETVMN TR3 Led 7 13KV Ent 2</t>
  </si>
  <si>
    <t>ETVMN TR3 Led 8 13KV Ent 2</t>
  </si>
  <si>
    <t>ETVMN TR3 Led 9 13KV Ent 2</t>
  </si>
  <si>
    <t>ETVMN TR3 Led 10 13KV Ent 2</t>
  </si>
  <si>
    <t>ETVMN TR3 Led 11 13KV Ent 2</t>
  </si>
  <si>
    <t>ETVMN TR3 Falta CA medicion 13kv ent 2</t>
  </si>
  <si>
    <t>ETVMN TR3 Falta Tension senializacion 13kv ent 2</t>
  </si>
  <si>
    <t>ETVMN TR3 Estado Interruptor 13KV Ent 2</t>
  </si>
  <si>
    <t>ETVMN TR3 Estado seccionador barra 13KV Ent 2</t>
  </si>
  <si>
    <t>ETVMN TR3 Estado PAT 13KV Ent 2</t>
  </si>
  <si>
    <t>ETVMN TR3 Resorte Descargado 13kv ent 2</t>
  </si>
  <si>
    <t>ETVMN TR3 Falta fuerza motriz 13kv ent 2</t>
  </si>
  <si>
    <t>ETVMN TR3 Arranque I&gt;&gt; Fase R 13KV Ent 2</t>
  </si>
  <si>
    <t>ETVMN TR3 Arranque I&gt;&gt; Fase S 13KV Ent 2</t>
  </si>
  <si>
    <t>ETVMN TR3 Arranque I&gt;&gt; Fase T 13KV Ent 2</t>
  </si>
  <si>
    <t>ETVMN TR3 Disparo I&gt;&gt; Fase R 13KV Ent 2</t>
  </si>
  <si>
    <t>ETVMN TR3 Disparo I&gt;&gt; Fase S 13KV Ent 2</t>
  </si>
  <si>
    <t>ETVMN TR3 Disparo I&gt;&gt; Fase T 13KV Ent 2</t>
  </si>
  <si>
    <t>ETVMN TR3 Arranque I&gt; Fase R 13KV Ent 2</t>
  </si>
  <si>
    <t>ETVMN TR3 Arranque I&gt; Fase S 13KV Ent 2</t>
  </si>
  <si>
    <t>ETVMN TR3 Arranque I&gt; Fase T 13KV Ent 2</t>
  </si>
  <si>
    <t>ETVMN TR3 Disparo I&gt; Fase R 13KV Ent 2</t>
  </si>
  <si>
    <t>ETVMN TR3 Disparo I&gt; Fase S 13KV Ent 2</t>
  </si>
  <si>
    <t>ETVMN TR3 Disparo I&gt; Fase T 13KV Ent 2</t>
  </si>
  <si>
    <t>ETVMN TR3 Bloqueo apertura interruptor 13KV Ent 2</t>
  </si>
  <si>
    <t>ETVMN TR3 Bloqueo cierre interruptor 13KV Ent 2</t>
  </si>
  <si>
    <t>ETVMN TR3 1-1FLTRFRC1_HZ</t>
  </si>
  <si>
    <t>ETVMN TR3 1-1FLTRFRC1_StrDur</t>
  </si>
  <si>
    <t>ETVMN TR3 1-1FLTRFRC1_StrOpTm</t>
  </si>
  <si>
    <t>ETVMN TR3 1-1FLTRFRC1_APhsA1</t>
  </si>
  <si>
    <t>ETVMN TR3 1-1FLTRFRC1_APhsB1</t>
  </si>
  <si>
    <t>ETVMN TR3 1-1FLTRFRC1_APhsC1</t>
  </si>
  <si>
    <t>ETVMN TR3 1-1FLTRFRC1_ARes1</t>
  </si>
  <si>
    <t>ETVMN TR3 1-1FLTRFRC1_AResClc1</t>
  </si>
  <si>
    <t>ETVMN TR3 1-1FLTRFRC1_APsSeq1</t>
  </si>
  <si>
    <t>ETVMN TR3 1-1FLTRFRC1_ANgSeq1</t>
  </si>
  <si>
    <t>ETVMN TR3 1-1FLTRFRC1_PhVPhsA1</t>
  </si>
  <si>
    <t>ETVMN TR3 1-1FLTRFRC1_PhVPhsB1</t>
  </si>
  <si>
    <t>ETVMN TR3 1-1FLTRFRC1_PhVPhsC1</t>
  </si>
  <si>
    <t>ETVMN TR3 1-1FLTRFRC1_PPVPhsAB1</t>
  </si>
  <si>
    <t>ETVMN TR3 1-1FLTRFRC1_PPVPhsBC1</t>
  </si>
  <si>
    <t>ETVMN TR3 1-1FLTRFRC1_PPVPhsCA1</t>
  </si>
  <si>
    <t>ETVMN TR3 1-1FLTRFRC1_VRes1</t>
  </si>
  <si>
    <t>ETVMN TR3 1-1FLTRFRC1_VZro1</t>
  </si>
  <si>
    <t>ETVMN TR3 1-1FLTRFRC1_VPsSeq1</t>
  </si>
  <si>
    <t>ETVMN TR3 1-1FLTRFRC1_VNgSeq1</t>
  </si>
  <si>
    <t>ETVMN TR3 1-1FLTRFRC1_PhVPhsA2</t>
  </si>
  <si>
    <t>ETVMN TR3 1-1FLTRFRC1_PPVPhsAB2</t>
  </si>
  <si>
    <t>ETVMN TR3 1-1FLTRFRC1_MaxTmpRl</t>
  </si>
  <si>
    <t>ETVMN TR3 1-1FLTRFRC1_AMaxNgPs</t>
  </si>
  <si>
    <t>ETVMN TR3 1-1FLTRFRC1_DifNAngVN1</t>
  </si>
  <si>
    <t>ETVMN TR3 1-1FLTRFRC1_DifAAngBC1</t>
  </si>
  <si>
    <t>ETVMN TR3 1-1FLTRFRC1_DifBAngCA1</t>
  </si>
  <si>
    <t>ETVMN TR3 1-1FLTRFRC1_DifCAngAB1</t>
  </si>
  <si>
    <t>ETVMN TR3 1-1FLTRFRC1_HzRteChg</t>
  </si>
  <si>
    <t>ETVMN TR3 1-1FLTRFRC1_CondNeut</t>
  </si>
  <si>
    <t>ETVMN TR3 1-1FLTRFRC1_SusNeut</t>
  </si>
  <si>
    <t>ETVMN TR3 1-1FLTRFRC1_CBClrTm</t>
  </si>
  <si>
    <t>ETVMN TR3 13kv Frecuencia Ent 1</t>
  </si>
  <si>
    <t>ETVMN TR3 13kv Tension N Ent 1</t>
  </si>
  <si>
    <t>ETVMN TR3 Arranque general 13KV Ent 1</t>
  </si>
  <si>
    <t>ETVMN TR3 Arranque I&gt;&gt; 13KV Ent 1</t>
  </si>
  <si>
    <t>ETVMN TR3 Arranque I&gt;&gt; Fase R 13KV Ent 1</t>
  </si>
  <si>
    <t>ETVMN TR3 Arranque I&gt;&gt; Fase S 13KV Ent 1</t>
  </si>
  <si>
    <t>ETVMN TR3 Arranque I&gt;&gt; Fase T 13KV Ent 1</t>
  </si>
  <si>
    <t>ETVMN TR3 Disparo I&gt;&gt; Fase R 13KV Ent 1</t>
  </si>
  <si>
    <t>ETVMN TR3 Disparo I&gt;&gt; Fase S 13KV Ent 1</t>
  </si>
  <si>
    <t>ETVMN TR3 Disparo I&gt;&gt; Fase T 13KV Ent 1</t>
  </si>
  <si>
    <t>ETVMN TR3 Disparo I&gt; Fase R 13KV Ent 1</t>
  </si>
  <si>
    <t>ETVMN TR3 Disparo I&gt; Fase S 13KV Ent 1</t>
  </si>
  <si>
    <t>ETVMN TR3 Disparo I&gt; Fase T 13KV Ent 1</t>
  </si>
  <si>
    <t>ETVMN TR3 Arranque Io&gt;&gt; 13KV Ent 1</t>
  </si>
  <si>
    <t>ETVMN TR3 Estado llave Rele 13KV Ent 1</t>
  </si>
  <si>
    <t>ETVMN TR3 Bloqueo apertura interruptor 13KV Ent 1</t>
  </si>
  <si>
    <t>ETVMN TR3 Bloqueo cierre interruptor 13KV Ent 1</t>
  </si>
  <si>
    <t>ETVMN TR3 Led 1 13KV Ent 1</t>
  </si>
  <si>
    <t>ETVMN TR3 Led 2 13KV Ent 1</t>
  </si>
  <si>
    <t>ETVMN TR3 Led 3 13KV Ent 1</t>
  </si>
  <si>
    <t>ETVMN TR3 Led 4 13KV Ent 1</t>
  </si>
  <si>
    <t>ETVMN TR3 Led 5 13KV Ent 1</t>
  </si>
  <si>
    <t>ETVMN TR3 Led 6 13KV Ent 1</t>
  </si>
  <si>
    <t>ETVMN TR3 Led 7 13KV Ent 1</t>
  </si>
  <si>
    <t>ETVMN TR3 Led 8 13KV Ent 1</t>
  </si>
  <si>
    <t>ETVMN TR3 Led 9 13KV Ent 1</t>
  </si>
  <si>
    <t>ETVMN TR3 Led 10 13KV Ent 1</t>
  </si>
  <si>
    <t>ETVMN TR3 Led 11 13KV Ent 1</t>
  </si>
  <si>
    <t>ETVMN TR3 Falta CA medicion 13KV Ent 1</t>
  </si>
  <si>
    <t>ETVMN TR3 Falta Tension senializacion 13KV Ent 1</t>
  </si>
  <si>
    <t>ETVMN TR3 Disparo arco interno 13kv Ent 1</t>
  </si>
  <si>
    <t>ETVMN TR3 Resorte Descargado 13KV Ent 1</t>
  </si>
  <si>
    <t>ETVMN TR3 Baja presion SF6 13kv Ent 1</t>
  </si>
  <si>
    <t>ETVMN TR3 Falta fuerza motriz 13KV Ent 1</t>
  </si>
  <si>
    <t>ETVMN TR3 Falta CA medicion 13KV Ent 2</t>
  </si>
  <si>
    <t>ETVMN TR3 Falta Tension senializacion 13KV Ent 2</t>
  </si>
  <si>
    <t>ETVMN TR3 Disparo arco interno 13kv Ent 2</t>
  </si>
  <si>
    <t>ETVMN TR3 Resorte Descargado 13KV Ent 2</t>
  </si>
  <si>
    <t>ETVMN TR3 Baja presion SF6 13kv Ent 2</t>
  </si>
  <si>
    <t>ETVMN TR3 Falta fuerza motriz 13KV Ent 2</t>
  </si>
  <si>
    <t>TR3</t>
  </si>
  <si>
    <t>NIVEL</t>
  </si>
  <si>
    <t>COMANDO</t>
  </si>
  <si>
    <t>PROTECCION SECUNDARIA</t>
  </si>
  <si>
    <t>SOBRECORRIENTE INSTANTANEA</t>
  </si>
  <si>
    <t>SOBRECORRIENTE TEMPORIZADA</t>
  </si>
  <si>
    <t>SOBRECORRIENTE INSTANTANEA A TIERRA</t>
  </si>
  <si>
    <t>SOBRECORRIENTE TEMPORIZADA A TIERRA</t>
  </si>
  <si>
    <t>DISTANCIA</t>
  </si>
  <si>
    <t>-3_</t>
  </si>
  <si>
    <t>-1_</t>
  </si>
  <si>
    <t>-2_</t>
  </si>
  <si>
    <t>-ALARG_</t>
  </si>
  <si>
    <t>SOBRECORRIENTE INSTANTANEA A TIERRA DE 132KV</t>
  </si>
  <si>
    <t>SOBRECORRIENTE INSTANTANEA A TIERRA DE 13,2KV</t>
  </si>
  <si>
    <t>SOBRECORRIENTE INSTANTANEA A TIERRA DE 33KV</t>
  </si>
  <si>
    <t>SOBRECORRIENTE INSTANTANEA DE 132KV</t>
  </si>
  <si>
    <t>SOBRECORRIENTE INSTANTANEA DE 13,2KV</t>
  </si>
  <si>
    <t>SOBRECORRIENTE INSTANTANEA DE 33KV</t>
  </si>
  <si>
    <t>SOBRECORRIENTE TEMPORIZADA A GROUND</t>
  </si>
  <si>
    <t>SOBRECORRIENTE TEMPORIZADA DE 132KV</t>
  </si>
  <si>
    <t>SOBRECORRIENTE TEMPORIZADA DE 13,2KV</t>
  </si>
  <si>
    <t>SOBRECORRIENTE TEMPORIZADA DE 33KV</t>
  </si>
  <si>
    <t>SOBRECORRIENTE TEMPORIZADA A TIERRA DE 132KV</t>
  </si>
  <si>
    <t>SOBRECORRIENTE TEMPORIZADA A TIERRA DE 13,2KV</t>
  </si>
  <si>
    <t>SOBRECORRIENTE TEMPORIZADA A TIERRA DE 33KV</t>
  </si>
  <si>
    <t>SOBRECORRIENTE GENERAL</t>
  </si>
  <si>
    <t>SOBRECORRIENTE GENERAL A TIERRA</t>
  </si>
  <si>
    <t>SOBRECORRIENTE GENERAL A TIERRA DE 13,2KV</t>
  </si>
  <si>
    <t>SOBRECORRIENTE GENERAL A TIERRA DE 132KV</t>
  </si>
  <si>
    <t>SOBRECORRIENTE GENERAL A TIERRA DE 33KV</t>
  </si>
  <si>
    <t>SOBRECORRIENTE GENERAL DE 13,2KV</t>
  </si>
  <si>
    <t>SOBRECORRIENTE GENERAL DE 132KV</t>
  </si>
  <si>
    <t>SOBRECORRIENTE GENERAL DE 33KV</t>
  </si>
  <si>
    <t>Bajo carga (-)</t>
  </si>
  <si>
    <t>IED de distancia (-)</t>
  </si>
  <si>
    <t>IED diferencial (-)</t>
  </si>
  <si>
    <t>PROTECCION SECUNADARIA</t>
  </si>
  <si>
    <t>51G_</t>
  </si>
  <si>
    <t xml:space="preserve">ETVMN TR3 Potencia Aparente </t>
  </si>
  <si>
    <t>_5</t>
  </si>
  <si>
    <t>_8</t>
  </si>
  <si>
    <t>_9</t>
  </si>
  <si>
    <t>_10</t>
  </si>
  <si>
    <t>_11</t>
  </si>
  <si>
    <t>_12</t>
  </si>
  <si>
    <t>NUMERO</t>
  </si>
  <si>
    <t>FALTA FUERZA MOTRIZ</t>
  </si>
  <si>
    <t>Nivel de tension</t>
  </si>
  <si>
    <t>TIPO: MENU DESPLEGABLE que se obtiene de la tabla TIPO: se coloca si es una Estacion Transformadora, Centro distribuidor o Centro de maniobra cada una tine sus caracteres asociados según tabla TIPOS de la pestaña LISTAS</t>
  </si>
  <si>
    <t>LUGAR: MENU DESPLEGABLE que se obtiene de la tabla LUGAR: se coloca el nombre del lugar, cada lugar tiene sus caracteres definidos según la tabla LUGARES de la pestaña LISTAS</t>
  </si>
  <si>
    <t>SIGLAS: ESCRITURA MANUAL: Siglas referidas al OBJETO anteriormente definido</t>
  </si>
  <si>
    <t>NIVEL DE TENSION: MENU DESPLEGABLE que se obtiene de la tabla NIVEL DE TENSION: Solo se coloca el nivel de tension cuando se trata de una señal proveniente de un OBJETO: TRASFORMADOR</t>
  </si>
  <si>
    <t>DISPOSITIVO: MENU DESPLEGABLE que se obtiene de la tabla DISPOSITIVO: Hace referencia a que dispositivo se trata la señal, puede ser una proteccion, un multimedidor, un equipo de maniobra, etc</t>
  </si>
  <si>
    <t>PROTECCION SECUNDARIA: MENU DESPLEGABLE que se obtiene de la tabla PROTECCION SECUNDARIA: Hace referencia a la proteccion secuandaria interna dl dispositivo anteriormente definido</t>
  </si>
  <si>
    <t>QUE: MENU DESPLEGABLE que se obtiene de la tabla QUE: Hace referencia a lo que representa espefisicamente esa señal en particular</t>
  </si>
  <si>
    <t>SEÑAL: MENU DESPLEGABLE que se obtiene de la tabla SEÑAL: Complementa la definicion hecha con la tabla QUE</t>
  </si>
  <si>
    <t>NUMERO: MENU DESPLEGABLE que se obtiene de la tabla NUMERO: Se utiliza cuando existe redundancia de señales o hay dos equipos que tienen las mismas señales pero estan ubicados en distintos espacios</t>
  </si>
  <si>
    <t xml:space="preserve">OBJETO: MENU DESPLEGABLE que se obtiene de la tabla OBJETO: </t>
  </si>
  <si>
    <t xml:space="preserve">     si es una CELDA: en la columna "SIGLAS" se colocan las siglas asociadas al Lugar y 2 numeros el primero es el nivel de tension y el segundo es la numeracion de la celda</t>
  </si>
  <si>
    <t xml:space="preserve">     si es un TRANSFORMADOR: en la columna "SIGLAS" se coloca las siglas de trasformador TR y la numeracion de dicho trasformador. Y en la columna "Nivel de Tension" se coloca 13kv, 33kv, 132kv o 500kv</t>
  </si>
  <si>
    <t xml:space="preserve">     si es una LINEA: en la columna "SIGLAS" se coloca lasa siglas de Linea: LAT si es alta tension, LMT si es media tension y a continuacion se coloca las siglas del lugar hacia donde va esa linea</t>
  </si>
  <si>
    <t xml:space="preserve">     si es una señal GENERAL: hace referencia a una señal que no esta asociada directamente a una CELDA, TRANSFORMADOR o una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</si>
</sst>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3" tint="0.499984740745262"/>
        <bgColor theme="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6" xfId="0" applyBorder="1"/>
    <xf numFmtId="49" fontId="0" fillId="0" borderId="0" xfId="0" applyNumberFormat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2" fillId="5" borderId="11" xfId="0" applyNumberFormat="1" applyFont="1" applyFill="1" applyBorder="1" applyAlignment="1">
      <alignment horizontal="left"/>
    </xf>
    <xf numFmtId="0" fontId="0" fillId="7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5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17" xfId="0" applyNumberFormat="1" applyBorder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5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>
          <bgColor theme="3" tint="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5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868A9A-CA8E-4B25-B8D1-019A07B7A33C}" name="LUGAR" displayName="LUGAR" ref="A1:B10" totalsRowShown="0" tableBorderDxfId="56">
  <autoFilter ref="A1:B10" xr:uid="{FB868A9A-CA8E-4B25-B8D1-019A07B7A33C}"/>
  <tableColumns count="2">
    <tableColumn id="1" xr3:uid="{93A97C22-7367-4407-A317-F55E307D2DE8}" name="LUGAR" dataDxfId="55"/>
    <tableColumn id="2" xr3:uid="{245A8B7C-09D5-412B-9CFB-E381CC4CD440}" name="TAG" dataDxfId="5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136AAD-4769-4B12-8674-FD950D4F0F2D}" name="OBJETO" displayName="OBJETO" ref="G1:G5" totalsRowShown="0" headerRowDxfId="53" headerRowBorderDxfId="52">
  <autoFilter ref="G1:G5" xr:uid="{B1136AAD-4769-4B12-8674-FD950D4F0F2D}"/>
  <tableColumns count="1">
    <tableColumn id="1" xr3:uid="{CAA1FC45-D620-4B17-8B89-E7685A47283F}" name="OBJETO" dataDxfId="51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3B4273-05ED-4F2F-B238-2F1FAD94F8DD}" name="NIVEL" displayName="NIVEL" ref="I1:J5" totalsRowShown="0" headerRowDxfId="50" dataDxfId="48" headerRowBorderDxfId="49" tableBorderDxfId="47">
  <autoFilter ref="I1:J5" xr:uid="{593B4273-05ED-4F2F-B238-2F1FAD94F8DD}"/>
  <tableColumns count="2">
    <tableColumn id="1" xr3:uid="{FD65853F-65E4-4D36-899A-8F7EAAA10D4C}" name="NIVEL" dataDxfId="46"/>
    <tableColumn id="2" xr3:uid="{3873B99B-BB7B-4C49-9709-C2ABB53F9D37}" name="TAG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9D20FC-A55D-473D-AFDB-828F54DD3677}" name="DISPOSITIVO" displayName="DISPOSITIVO" ref="L1:M177" totalsRowShown="0" headerRowDxfId="44" dataDxfId="42" headerRowBorderDxfId="43" tableBorderDxfId="41">
  <autoFilter ref="L1:M177" xr:uid="{7D9D20FC-A55D-473D-AFDB-828F54DD3677}"/>
  <sortState xmlns:xlrd2="http://schemas.microsoft.com/office/spreadsheetml/2017/richdata2" ref="L2:M177">
    <sortCondition ref="L1:L177"/>
  </sortState>
  <tableColumns count="2">
    <tableColumn id="1" xr3:uid="{9846A686-BC40-4E2F-93F6-F4AB06738FD7}" name="DISPOSITIVO" dataDxfId="40"/>
    <tableColumn id="2" xr3:uid="{96D4513E-7F0D-4DAF-BC21-63ECC2893D60}" name="TAG" dataDxfId="39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B6D1DD-7A24-4BE3-9D6E-8ECCE95D3E32}" name="TIPO" displayName="TIPO" ref="D1:E4" totalsRowShown="0" tableBorderDxfId="38">
  <autoFilter ref="D1:E4" xr:uid="{3AB6D1DD-7A24-4BE3-9D6E-8ECCE95D3E32}"/>
  <tableColumns count="2">
    <tableColumn id="1" xr3:uid="{DFEF8BA3-9FD6-4FAE-BF6D-9B4741A07D67}" name="TIPO" dataDxfId="37"/>
    <tableColumn id="2" xr3:uid="{DA48A2AF-94D1-4BA1-88D1-D27008B352D0}" name="TAG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C1C42A-F4A4-4C61-AB5E-2A939CF13A60}" name="QUE" displayName="QUE" ref="S1:T1048575" totalsRowShown="0" headerRowDxfId="36" dataDxfId="35">
  <autoFilter ref="S1:T1048575" xr:uid="{66C1C42A-F4A4-4C61-AB5E-2A939CF13A60}"/>
  <sortState xmlns:xlrd2="http://schemas.microsoft.com/office/spreadsheetml/2017/richdata2" ref="S2:T205">
    <sortCondition ref="S1:S1048575"/>
  </sortState>
  <tableColumns count="2">
    <tableColumn id="2" xr3:uid="{A89E0110-4412-4436-8790-29E8B005BFD8}" name="QUE" dataDxfId="34"/>
    <tableColumn id="3" xr3:uid="{1F43F7CA-9A0A-40C2-A4F8-3C3C1176DC26}" name="TAG" dataDxfId="33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7BC9B9-19C3-4E20-9B8F-7EB9D47C2848}" name="SEÑAL" displayName="SEÑAL" ref="V1:W1048576" totalsRowShown="0" headerRowDxfId="32">
  <autoFilter ref="V1:W1048576" xr:uid="{3B7BC9B9-19C3-4E20-9B8F-7EB9D47C2848}"/>
  <tableColumns count="2">
    <tableColumn id="1" xr3:uid="{7235D1EF-AC1B-4060-A86B-C9E9F9917566}" name="SEÑAL"/>
    <tableColumn id="2" xr3:uid="{03B65AAF-48D4-4FC5-B08A-6C7DCA296A01}" name="TAG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30B0B-CAD8-496C-BABD-807B1E655FD4}" name="PROTECCION_SECUNDARIA" displayName="PROTECCION_SECUNDARIA" ref="O1:P1048576" totalsRowShown="0">
  <autoFilter ref="O1:P1048576" xr:uid="{6D830B0B-CAD8-496C-BABD-807B1E655FD4}"/>
  <sortState xmlns:xlrd2="http://schemas.microsoft.com/office/spreadsheetml/2017/richdata2" ref="O2:P206">
    <sortCondition ref="O1:O1048576"/>
  </sortState>
  <tableColumns count="2">
    <tableColumn id="1" xr3:uid="{57AAD31D-F1EC-4FD1-BB62-4111D464FB26}" name="PROTECCION SECUNADARIA"/>
    <tableColumn id="2" xr3:uid="{94D0C7F2-223B-4ED2-99A4-21E15DD76756}" name="TAG" dataDxfId="31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E74E1F1-CFDB-48BD-8172-EC9697CD70C6}" name="NUMERO" displayName="NUMERO" ref="Y1:Z13" totalsRowShown="0" headerRowDxfId="30" dataDxfId="29" tableBorderDxfId="28">
  <autoFilter ref="Y1:Z13" xr:uid="{5E74E1F1-CFDB-48BD-8172-EC9697CD70C6}"/>
  <tableColumns count="2">
    <tableColumn id="1" xr3:uid="{E2678E03-9777-44DC-8933-2213315FCFF1}" name="NUMERO" dataDxfId="27"/>
    <tableColumn id="2" xr3:uid="{2B4F5144-EDB8-484D-9DC1-52D05216299C}" name="TAG" dataDxfId="26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CE809F-C540-4BF9-BCDD-1EAAD9E115D8}" name="Tabla3" displayName="Tabla3" ref="B1:V596" totalsRowShown="0" headerRowDxfId="25" dataDxfId="24" tableBorderDxfId="23">
  <autoFilter ref="B1:V596" xr:uid="{4CCE809F-C540-4BF9-BCDD-1EAAD9E115D8}"/>
  <tableColumns count="21">
    <tableColumn id="1" xr3:uid="{C8620C3F-2562-42DC-B8FD-3BCB9CF1895D}" name="Tipo" dataDxfId="22"/>
    <tableColumn id="2" xr3:uid="{246042C3-7A7B-4773-9F35-9F594121D057}" name="Lugar" dataDxfId="21"/>
    <tableColumn id="3" xr3:uid="{09CFBBB4-21FC-454A-983E-594DD26E744F}" name="OBJETO" dataDxfId="20"/>
    <tableColumn id="4" xr3:uid="{F8772BE6-0CBD-4603-BC9E-8C35FF509E5A}" name="SIGLAS" dataDxfId="19"/>
    <tableColumn id="5" xr3:uid="{5D9CA929-AFBA-48FC-A8DD-871D35D2FD94}" name="Nivel de tension" dataDxfId="18"/>
    <tableColumn id="6" xr3:uid="{7D7422F2-A599-4663-85D2-D8003F210C81}" name="DISPOSITIVO" dataDxfId="17"/>
    <tableColumn id="22" xr3:uid="{8DE3EC48-C6E3-4701-879B-FE12D9252F53}" name="PROTECCION SECUNDARIA" dataDxfId="16"/>
    <tableColumn id="7" xr3:uid="{7C788D59-E045-4C0F-97EB-2929BA350160}" name="Que" dataDxfId="15"/>
    <tableColumn id="8" xr3:uid="{D0E50037-856B-47CC-AE79-6A0059DB741D}" name="Señal" dataDxfId="14"/>
    <tableColumn id="24" xr3:uid="{FB2FCC34-CBF3-4574-9DEA-F48F796583C9}" name="NUMERO"/>
    <tableColumn id="21" xr3:uid="{02AC99A7-1DBE-4555-AF74-02191AAE020D}" name="TAG" dataDxfId="13">
      <calculatedColumnFormula>CONCATENATE(Tabla3[[#This Row],[3]],Tabla3[[#This Row],[4]],".",Tabla3[[#This Row],[5]],".",Tabla3[[#This Row],[6]],Tabla3[[#This Row],[7]],Tabla3[[#This Row],[8]],Tabla3[[#This Row],[9]],Tabla3[[#This Row],[10]],Tabla3[[#This Row],[11]])</calculatedColumnFormula>
    </tableColumn>
    <tableColumn id="9" xr3:uid="{13A621FE-1444-451C-99A7-987B67213D73}" name="Columna2" dataDxfId="12"/>
    <tableColumn id="12" xr3:uid="{09EC456B-CEFA-446E-97E9-9177E88119E2}" name="3" dataDxfId="11">
      <calculatedColumnFormula>VLOOKUP(Tabla3[[#This Row],[Tipo]],TIPO[#All],2,0)</calculatedColumnFormula>
    </tableColumn>
    <tableColumn id="13" xr3:uid="{E00DE20F-320A-48AD-8FAD-ED5D1AE60FA3}" name="4" dataDxfId="10">
      <calculatedColumnFormula>VLOOKUP(Tabla3[[#This Row],[Lugar]],LUGAR[#All],2,0)</calculatedColumnFormula>
    </tableColumn>
    <tableColumn id="14" xr3:uid="{3A6DB462-FBAD-4866-98B5-8DBE43A10A46}" name="5" dataDxfId="9">
      <calculatedColumnFormula>Tabla3[[#This Row],[SIGLAS]]</calculatedColumnFormula>
    </tableColumn>
    <tableColumn id="15" xr3:uid="{A41030EA-FD61-47F2-B8AF-36E4BC261D4F}" name="6" dataDxfId="8">
      <calculatedColumnFormula>_xlfn.IFNA(VLOOKUP(Tabla3[[#This Row],[Nivel de tension]],NIVEL[#All],2,0),"")</calculatedColumnFormula>
    </tableColumn>
    <tableColumn id="16" xr3:uid="{8C860CD7-115D-4629-B0F3-C728C96A3DED}" name="7" dataDxfId="7">
      <calculatedColumnFormula>_xlfn.IFNA(VLOOKUP(Tabla3[[#This Row],[DISPOSITIVO]],DISPOSITIVO[],2,0),"")</calculatedColumnFormula>
    </tableColumn>
    <tableColumn id="23" xr3:uid="{3AE2E3A8-AAE1-48C3-9F30-43624E48FB5C}" name="8" dataDxfId="6">
      <calculatedColumnFormula>_xlfn.IFNA(VLOOKUP(Tabla3[[#This Row],[PROTECCION SECUNDARIA]],PROTECCION_SECUNDARIA[],2,0),"")</calculatedColumnFormula>
    </tableColumn>
    <tableColumn id="17" xr3:uid="{BB7CDC44-098A-4675-8526-91260C8E47EE}" name="9" dataDxfId="5">
      <calculatedColumnFormula>_xlfn.IFNA(VLOOKUP(Tabla3[[#This Row],[Que]],QUE[#All],2,0),"")</calculatedColumnFormula>
    </tableColumn>
    <tableColumn id="18" xr3:uid="{5CF56ABB-C3F9-40C7-85E3-2F4B4D8311AB}" name="10" dataDxfId="4">
      <calculatedColumnFormula>_xlfn.IFNA(VLOOKUP(Tabla3[[#This Row],[Señal]],SEÑAL[#All],2,0),"")</calculatedColumnFormula>
    </tableColumn>
    <tableColumn id="19" xr3:uid="{B8BE8506-175C-4C7C-9906-61C38F6729D1}" name="11" dataDxfId="3">
      <calculatedColumnFormula>_xlfn.IFNA(VLOOKUP(Tabla3[[#This Row],[NUMERO]],SEÑAL[#All],2,0),"")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230E41-EA8D-4E73-BE7D-C824F074DC83}" name="Tabla10" displayName="Tabla10" ref="A1:A596" totalsRowShown="0" headerRowDxfId="2" dataDxfId="1">
  <autoFilter ref="A1:A596" xr:uid="{EE230E41-EA8D-4E73-BE7D-C824F074DC83}"/>
  <tableColumns count="1">
    <tableColumn id="1" xr3:uid="{443E53B9-BF8E-4F7A-8969-649365DDE395}" name="SEÑAL A TAGEA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87FE-AE35-4D97-A4B6-BE98575D57D8}">
  <dimension ref="A1:Z206"/>
  <sheetViews>
    <sheetView topLeftCell="Q1" workbookViewId="0">
      <selection activeCell="Y5" sqref="Y5"/>
    </sheetView>
  </sheetViews>
  <sheetFormatPr baseColWidth="10" defaultRowHeight="15" x14ac:dyDescent="0.25"/>
  <cols>
    <col min="1" max="1" width="19.28515625" bestFit="1" customWidth="1"/>
    <col min="2" max="2" width="12.140625" customWidth="1"/>
    <col min="3" max="3" width="2.42578125" customWidth="1"/>
    <col min="4" max="4" width="23.7109375" bestFit="1" customWidth="1"/>
    <col min="5" max="5" width="6.5703125" customWidth="1"/>
    <col min="6" max="6" width="2.42578125" customWidth="1"/>
    <col min="7" max="7" width="16" bestFit="1" customWidth="1"/>
    <col min="8" max="8" width="2.7109375" customWidth="1"/>
    <col min="9" max="9" width="14.7109375" bestFit="1" customWidth="1"/>
    <col min="10" max="10" width="14.7109375" customWidth="1"/>
    <col min="11" max="11" width="2" customWidth="1"/>
    <col min="12" max="13" width="59.7109375" bestFit="1" customWidth="1"/>
    <col min="14" max="14" width="5.28515625" customWidth="1"/>
    <col min="15" max="15" width="59.7109375" customWidth="1"/>
    <col min="16" max="16" width="59.7109375" style="28" customWidth="1"/>
    <col min="17" max="17" width="59.7109375" customWidth="1"/>
    <col min="19" max="19" width="42.5703125" style="18" bestFit="1" customWidth="1"/>
    <col min="20" max="20" width="11.42578125" style="18"/>
    <col min="22" max="22" width="45.7109375" bestFit="1" customWidth="1"/>
    <col min="23" max="23" width="15.42578125" bestFit="1" customWidth="1"/>
    <col min="25" max="25" width="13.7109375" bestFit="1" customWidth="1"/>
  </cols>
  <sheetData>
    <row r="1" spans="1:26" ht="15.75" thickBot="1" x14ac:dyDescent="0.3">
      <c r="A1" s="5" t="s">
        <v>108</v>
      </c>
      <c r="B1" t="s">
        <v>0</v>
      </c>
      <c r="D1" s="5" t="s">
        <v>85</v>
      </c>
      <c r="E1" t="s">
        <v>0</v>
      </c>
      <c r="G1" s="8" t="s">
        <v>112</v>
      </c>
      <c r="I1" s="9" t="s">
        <v>1382</v>
      </c>
      <c r="J1" s="10" t="s">
        <v>0</v>
      </c>
      <c r="L1" s="9" t="s">
        <v>107</v>
      </c>
      <c r="M1" s="10" t="s">
        <v>0</v>
      </c>
      <c r="N1" s="2"/>
      <c r="O1" s="2" t="s">
        <v>1418</v>
      </c>
      <c r="P1" s="27" t="s">
        <v>0</v>
      </c>
      <c r="Q1" s="2"/>
      <c r="S1" s="19" t="s">
        <v>167</v>
      </c>
      <c r="T1" s="20" t="s">
        <v>0</v>
      </c>
      <c r="V1" s="18" t="s">
        <v>839</v>
      </c>
      <c r="W1" s="18" t="s">
        <v>0</v>
      </c>
      <c r="Y1" s="32" t="s">
        <v>1427</v>
      </c>
      <c r="Z1" s="32" t="s">
        <v>0</v>
      </c>
    </row>
    <row r="2" spans="1:26" x14ac:dyDescent="0.25">
      <c r="A2" s="16" t="s">
        <v>87</v>
      </c>
      <c r="B2" s="16" t="s">
        <v>88</v>
      </c>
      <c r="D2" s="6" t="s">
        <v>8</v>
      </c>
      <c r="E2" t="s">
        <v>9</v>
      </c>
      <c r="G2" s="5" t="s">
        <v>109</v>
      </c>
      <c r="I2" s="14" t="s">
        <v>3</v>
      </c>
      <c r="J2" s="2">
        <v>1</v>
      </c>
      <c r="L2" s="1" t="s">
        <v>14</v>
      </c>
      <c r="M2" s="1" t="s">
        <v>161</v>
      </c>
      <c r="N2" s="2"/>
      <c r="O2" s="2" t="s">
        <v>1389</v>
      </c>
      <c r="P2" s="27" t="s">
        <v>168</v>
      </c>
      <c r="Q2" s="2"/>
      <c r="S2" s="21" t="s">
        <v>397</v>
      </c>
      <c r="T2" s="22" t="s">
        <v>4</v>
      </c>
      <c r="V2" s="18" t="s">
        <v>509</v>
      </c>
      <c r="W2" s="18" t="s">
        <v>511</v>
      </c>
      <c r="Y2" s="31" t="s">
        <v>509</v>
      </c>
      <c r="Z2" s="31" t="s">
        <v>511</v>
      </c>
    </row>
    <row r="3" spans="1:26" x14ac:dyDescent="0.25">
      <c r="A3" s="16" t="s">
        <v>89</v>
      </c>
      <c r="B3" s="16" t="s">
        <v>90</v>
      </c>
      <c r="D3" s="6" t="s">
        <v>119</v>
      </c>
      <c r="E3" t="s">
        <v>13</v>
      </c>
      <c r="G3" s="6" t="s">
        <v>110</v>
      </c>
      <c r="I3" s="14" t="s">
        <v>10</v>
      </c>
      <c r="J3" s="2">
        <v>2</v>
      </c>
      <c r="L3" s="1" t="s">
        <v>299</v>
      </c>
      <c r="M3" s="1" t="s">
        <v>159</v>
      </c>
      <c r="N3" s="2"/>
      <c r="O3" s="2" t="s">
        <v>1407</v>
      </c>
      <c r="P3" s="27" t="s">
        <v>236</v>
      </c>
      <c r="Q3" s="2"/>
      <c r="S3" s="21" t="s">
        <v>405</v>
      </c>
      <c r="T3" s="22" t="s">
        <v>404</v>
      </c>
      <c r="V3" s="18" t="s">
        <v>510</v>
      </c>
      <c r="W3" s="18" t="s">
        <v>512</v>
      </c>
      <c r="Y3" s="31" t="s">
        <v>510</v>
      </c>
      <c r="Z3" s="31" t="s">
        <v>512</v>
      </c>
    </row>
    <row r="4" spans="1:26" ht="15.75" thickBot="1" x14ac:dyDescent="0.3">
      <c r="A4" s="16" t="s">
        <v>91</v>
      </c>
      <c r="B4" s="16" t="s">
        <v>92</v>
      </c>
      <c r="D4" s="7" t="s">
        <v>120</v>
      </c>
      <c r="E4" t="s">
        <v>17</v>
      </c>
      <c r="G4" s="6" t="s">
        <v>111</v>
      </c>
      <c r="I4" s="14" t="s">
        <v>14</v>
      </c>
      <c r="J4" s="2">
        <v>3</v>
      </c>
      <c r="L4" s="1" t="s">
        <v>10</v>
      </c>
      <c r="M4" s="1" t="s">
        <v>160</v>
      </c>
      <c r="N4" s="2"/>
      <c r="O4" s="2" t="s">
        <v>1408</v>
      </c>
      <c r="P4" s="27" t="s">
        <v>237</v>
      </c>
      <c r="Q4" s="2"/>
      <c r="S4" s="21" t="s">
        <v>407</v>
      </c>
      <c r="T4" s="22" t="s">
        <v>406</v>
      </c>
      <c r="V4" s="18" t="s">
        <v>96</v>
      </c>
      <c r="W4" s="18" t="s">
        <v>513</v>
      </c>
      <c r="Y4" s="31" t="s">
        <v>96</v>
      </c>
      <c r="Z4" s="31" t="s">
        <v>513</v>
      </c>
    </row>
    <row r="5" spans="1:26" ht="15.75" thickBot="1" x14ac:dyDescent="0.3">
      <c r="A5" s="16" t="s">
        <v>113</v>
      </c>
      <c r="B5" s="16" t="s">
        <v>114</v>
      </c>
      <c r="G5" s="7" t="s">
        <v>106</v>
      </c>
      <c r="I5" s="15" t="s">
        <v>18</v>
      </c>
      <c r="J5" s="2">
        <v>5</v>
      </c>
      <c r="L5" s="1" t="s">
        <v>32</v>
      </c>
      <c r="M5" s="1" t="s">
        <v>273</v>
      </c>
      <c r="N5" s="2"/>
      <c r="O5" s="2" t="s">
        <v>1409</v>
      </c>
      <c r="P5" s="27" t="s">
        <v>177</v>
      </c>
      <c r="Q5" s="2"/>
      <c r="S5" s="21" t="s">
        <v>399</v>
      </c>
      <c r="T5" s="22" t="s">
        <v>398</v>
      </c>
      <c r="V5" s="18" t="s">
        <v>97</v>
      </c>
      <c r="W5" s="18" t="s">
        <v>514</v>
      </c>
      <c r="Y5" s="31" t="s">
        <v>97</v>
      </c>
      <c r="Z5" s="31" t="s">
        <v>514</v>
      </c>
    </row>
    <row r="6" spans="1:26" x14ac:dyDescent="0.25">
      <c r="A6" s="16" t="s">
        <v>115</v>
      </c>
      <c r="B6" s="16" t="s">
        <v>93</v>
      </c>
      <c r="L6" s="1" t="s">
        <v>1415</v>
      </c>
      <c r="M6" s="1" t="s">
        <v>272</v>
      </c>
      <c r="N6" s="2"/>
      <c r="O6" s="2" t="s">
        <v>1410</v>
      </c>
      <c r="P6" s="27" t="s">
        <v>221</v>
      </c>
      <c r="Q6" s="2"/>
      <c r="S6" s="21" t="s">
        <v>400</v>
      </c>
      <c r="T6" s="22" t="s">
        <v>44</v>
      </c>
      <c r="V6" s="18" t="s">
        <v>98</v>
      </c>
      <c r="W6" s="18" t="s">
        <v>1421</v>
      </c>
      <c r="Y6" s="31" t="s">
        <v>98</v>
      </c>
      <c r="Z6" s="31" t="s">
        <v>1421</v>
      </c>
    </row>
    <row r="7" spans="1:26" x14ac:dyDescent="0.25">
      <c r="A7" s="16" t="s">
        <v>116</v>
      </c>
      <c r="B7" s="16" t="s">
        <v>117</v>
      </c>
      <c r="L7" s="1" t="s">
        <v>367</v>
      </c>
      <c r="M7" s="1" t="s">
        <v>276</v>
      </c>
      <c r="N7" s="2"/>
      <c r="O7" s="2" t="s">
        <v>1411</v>
      </c>
      <c r="P7" s="27" t="s">
        <v>200</v>
      </c>
      <c r="Q7" s="2"/>
      <c r="S7" s="21" t="s">
        <v>401</v>
      </c>
      <c r="T7" s="22" t="s">
        <v>38</v>
      </c>
      <c r="V7" s="18" t="s">
        <v>99</v>
      </c>
      <c r="W7" s="18" t="s">
        <v>517</v>
      </c>
      <c r="Y7" s="31" t="s">
        <v>99</v>
      </c>
      <c r="Z7" s="31" t="s">
        <v>517</v>
      </c>
    </row>
    <row r="8" spans="1:26" x14ac:dyDescent="0.25">
      <c r="A8" s="16" t="s">
        <v>166</v>
      </c>
      <c r="B8" s="16" t="s">
        <v>170</v>
      </c>
      <c r="L8" s="1" t="s">
        <v>375</v>
      </c>
      <c r="M8" s="1" t="s">
        <v>296</v>
      </c>
      <c r="N8" s="2"/>
      <c r="O8" s="2" t="s">
        <v>1412</v>
      </c>
      <c r="P8" s="27" t="s">
        <v>176</v>
      </c>
      <c r="Q8" s="2"/>
      <c r="S8" s="21" t="s">
        <v>402</v>
      </c>
      <c r="T8" s="22" t="s">
        <v>40</v>
      </c>
      <c r="V8" s="18" t="s">
        <v>100</v>
      </c>
      <c r="W8" s="18" t="s">
        <v>518</v>
      </c>
      <c r="Y8" s="31" t="s">
        <v>100</v>
      </c>
      <c r="Z8" s="31" t="s">
        <v>518</v>
      </c>
    </row>
    <row r="9" spans="1:26" x14ac:dyDescent="0.25">
      <c r="A9" s="17" t="s">
        <v>171</v>
      </c>
      <c r="B9" s="17" t="s">
        <v>172</v>
      </c>
      <c r="L9" s="1" t="s">
        <v>354</v>
      </c>
      <c r="M9" s="1" t="s">
        <v>247</v>
      </c>
      <c r="N9" s="2"/>
      <c r="O9" s="2" t="s">
        <v>1413</v>
      </c>
      <c r="P9" s="27" t="s">
        <v>220</v>
      </c>
      <c r="Q9" s="2"/>
      <c r="S9" s="21" t="s">
        <v>403</v>
      </c>
      <c r="T9" s="22" t="s">
        <v>5</v>
      </c>
      <c r="V9" s="18" t="s">
        <v>101</v>
      </c>
      <c r="W9" s="18" t="s">
        <v>1422</v>
      </c>
      <c r="Y9" s="31" t="s">
        <v>101</v>
      </c>
      <c r="Z9" s="31" t="s">
        <v>1422</v>
      </c>
    </row>
    <row r="10" spans="1:26" x14ac:dyDescent="0.25">
      <c r="A10" s="17" t="s">
        <v>173</v>
      </c>
      <c r="B10" s="17" t="s">
        <v>174</v>
      </c>
      <c r="L10" s="1" t="s">
        <v>306</v>
      </c>
      <c r="M10" s="1" t="s">
        <v>182</v>
      </c>
      <c r="N10" s="2"/>
      <c r="O10" s="2" t="s">
        <v>1414</v>
      </c>
      <c r="P10" s="27" t="s">
        <v>199</v>
      </c>
      <c r="Q10" s="2"/>
      <c r="S10" s="21" t="s">
        <v>408</v>
      </c>
      <c r="T10" s="22" t="s">
        <v>36</v>
      </c>
      <c r="V10" s="18" t="s">
        <v>102</v>
      </c>
      <c r="W10" s="18" t="s">
        <v>1423</v>
      </c>
      <c r="Y10" s="31" t="s">
        <v>102</v>
      </c>
      <c r="Z10" s="31" t="s">
        <v>1423</v>
      </c>
    </row>
    <row r="11" spans="1:26" x14ac:dyDescent="0.25">
      <c r="L11" s="1" t="s">
        <v>323</v>
      </c>
      <c r="M11" s="1" t="s">
        <v>205</v>
      </c>
      <c r="N11" s="2"/>
      <c r="O11" s="2" t="s">
        <v>1385</v>
      </c>
      <c r="P11" s="27" t="s">
        <v>235</v>
      </c>
      <c r="Q11" s="2"/>
      <c r="S11" s="21" t="s">
        <v>419</v>
      </c>
      <c r="T11" s="22" t="s">
        <v>418</v>
      </c>
      <c r="V11" s="18" t="s">
        <v>103</v>
      </c>
      <c r="W11" s="18" t="s">
        <v>1424</v>
      </c>
      <c r="Y11" s="31" t="s">
        <v>103</v>
      </c>
      <c r="Z11" s="31" t="s">
        <v>1424</v>
      </c>
    </row>
    <row r="12" spans="1:26" x14ac:dyDescent="0.25">
      <c r="L12" s="1" t="s">
        <v>355</v>
      </c>
      <c r="M12" s="1" t="s">
        <v>248</v>
      </c>
      <c r="N12" s="2"/>
      <c r="O12" s="2" t="s">
        <v>1387</v>
      </c>
      <c r="P12" s="27" t="s">
        <v>238</v>
      </c>
      <c r="Q12" s="2"/>
      <c r="S12" s="21" t="s">
        <v>421</v>
      </c>
      <c r="T12" s="22" t="s">
        <v>420</v>
      </c>
      <c r="V12" s="18" t="s">
        <v>104</v>
      </c>
      <c r="W12" s="18" t="s">
        <v>1425</v>
      </c>
      <c r="Y12" s="31" t="s">
        <v>104</v>
      </c>
      <c r="Z12" s="31" t="s">
        <v>1425</v>
      </c>
    </row>
    <row r="13" spans="1:26" x14ac:dyDescent="0.25">
      <c r="L13" s="1" t="s">
        <v>307</v>
      </c>
      <c r="M13" s="1" t="s">
        <v>183</v>
      </c>
      <c r="N13" s="2"/>
      <c r="O13" s="2" t="s">
        <v>1395</v>
      </c>
      <c r="P13" s="27" t="s">
        <v>178</v>
      </c>
      <c r="Q13" s="2"/>
      <c r="S13" s="21" t="s">
        <v>413</v>
      </c>
      <c r="T13" s="22" t="s">
        <v>28</v>
      </c>
      <c r="V13" s="18" t="s">
        <v>105</v>
      </c>
      <c r="W13" s="18" t="s">
        <v>1426</v>
      </c>
      <c r="Y13" s="31" t="s">
        <v>105</v>
      </c>
      <c r="Z13" s="31" t="s">
        <v>1426</v>
      </c>
    </row>
    <row r="14" spans="1:26" x14ac:dyDescent="0.25">
      <c r="L14" s="1" t="s">
        <v>324</v>
      </c>
      <c r="M14" s="1" t="s">
        <v>206</v>
      </c>
      <c r="N14" s="2"/>
      <c r="O14" s="2" t="s">
        <v>1394</v>
      </c>
      <c r="P14" s="27" t="s">
        <v>222</v>
      </c>
      <c r="Q14" s="2"/>
      <c r="S14" s="21" t="s">
        <v>472</v>
      </c>
      <c r="T14" s="22" t="s">
        <v>471</v>
      </c>
      <c r="V14" s="18"/>
      <c r="W14" s="18"/>
    </row>
    <row r="15" spans="1:26" x14ac:dyDescent="0.25">
      <c r="L15" s="1" t="s">
        <v>357</v>
      </c>
      <c r="M15" s="1" t="s">
        <v>254</v>
      </c>
      <c r="N15" s="2"/>
      <c r="O15" s="2" t="s">
        <v>1396</v>
      </c>
      <c r="P15" s="27" t="s">
        <v>201</v>
      </c>
      <c r="Q15" s="2"/>
      <c r="S15" s="21" t="s">
        <v>415</v>
      </c>
      <c r="T15" s="22" t="s">
        <v>414</v>
      </c>
      <c r="V15" s="18"/>
      <c r="W15" s="18"/>
    </row>
    <row r="16" spans="1:26" x14ac:dyDescent="0.25">
      <c r="L16" s="1" t="s">
        <v>318</v>
      </c>
      <c r="M16" s="1" t="s">
        <v>168</v>
      </c>
      <c r="N16" s="2"/>
      <c r="O16" s="2" t="s">
        <v>1398</v>
      </c>
      <c r="P16" s="27" t="s">
        <v>175</v>
      </c>
      <c r="Q16" s="2"/>
      <c r="S16" s="21" t="s">
        <v>417</v>
      </c>
      <c r="T16" s="22" t="s">
        <v>416</v>
      </c>
      <c r="V16" s="18"/>
      <c r="W16" s="18"/>
    </row>
    <row r="17" spans="12:23" x14ac:dyDescent="0.25">
      <c r="L17" s="1" t="s">
        <v>1416</v>
      </c>
      <c r="M17" s="1" t="s">
        <v>197</v>
      </c>
      <c r="N17" s="2"/>
      <c r="O17" s="2" t="s">
        <v>1397</v>
      </c>
      <c r="P17" s="27" t="s">
        <v>219</v>
      </c>
      <c r="Q17" s="2"/>
      <c r="S17" s="21" t="s">
        <v>391</v>
      </c>
      <c r="T17" s="22" t="s">
        <v>390</v>
      </c>
      <c r="V17" s="18"/>
      <c r="W17" s="18"/>
    </row>
    <row r="18" spans="12:23" x14ac:dyDescent="0.25">
      <c r="L18" s="1" t="s">
        <v>849</v>
      </c>
      <c r="M18" s="1" t="s">
        <v>223</v>
      </c>
      <c r="N18" s="2"/>
      <c r="O18" s="2" t="s">
        <v>1399</v>
      </c>
      <c r="P18" s="27" t="s">
        <v>198</v>
      </c>
      <c r="Q18" s="2"/>
      <c r="S18" s="21" t="s">
        <v>423</v>
      </c>
      <c r="T18" s="22" t="s">
        <v>422</v>
      </c>
      <c r="V18" s="18" t="s">
        <v>516</v>
      </c>
      <c r="W18" s="18" t="s">
        <v>515</v>
      </c>
    </row>
    <row r="19" spans="12:23" x14ac:dyDescent="0.25">
      <c r="L19" s="1" t="s">
        <v>850</v>
      </c>
      <c r="M19" s="1" t="s">
        <v>179</v>
      </c>
      <c r="N19" s="2"/>
      <c r="O19" s="2" t="s">
        <v>1386</v>
      </c>
      <c r="P19" s="27" t="s">
        <v>169</v>
      </c>
      <c r="Q19" s="2"/>
      <c r="S19" s="21" t="s">
        <v>957</v>
      </c>
      <c r="T19" s="22" t="s">
        <v>43</v>
      </c>
      <c r="V19" s="18" t="s">
        <v>99</v>
      </c>
      <c r="W19" s="18" t="s">
        <v>517</v>
      </c>
    </row>
    <row r="20" spans="12:23" x14ac:dyDescent="0.25">
      <c r="L20" s="1" t="s">
        <v>851</v>
      </c>
      <c r="M20" s="1" t="s">
        <v>202</v>
      </c>
      <c r="N20" s="2"/>
      <c r="O20" s="2" t="s">
        <v>1400</v>
      </c>
      <c r="P20" s="27" t="s">
        <v>1419</v>
      </c>
      <c r="Q20" s="2"/>
      <c r="S20" s="21" t="s">
        <v>426</v>
      </c>
      <c r="T20" s="22" t="s">
        <v>425</v>
      </c>
      <c r="V20" s="18" t="s">
        <v>100</v>
      </c>
      <c r="W20" s="18" t="s">
        <v>518</v>
      </c>
    </row>
    <row r="21" spans="12:23" x14ac:dyDescent="0.25">
      <c r="L21" s="1" t="s">
        <v>245</v>
      </c>
      <c r="M21" s="1" t="s">
        <v>244</v>
      </c>
      <c r="N21" s="2"/>
      <c r="O21" s="2" t="s">
        <v>1388</v>
      </c>
      <c r="P21" s="27" t="s">
        <v>246</v>
      </c>
      <c r="Q21" s="2"/>
      <c r="S21" s="21" t="s">
        <v>427</v>
      </c>
      <c r="T21" s="22" t="s">
        <v>163</v>
      </c>
      <c r="V21" s="18" t="s">
        <v>520</v>
      </c>
      <c r="W21" s="18" t="s">
        <v>519</v>
      </c>
    </row>
    <row r="22" spans="12:23" x14ac:dyDescent="0.25">
      <c r="L22" s="1" t="s">
        <v>241</v>
      </c>
      <c r="M22" s="1" t="s">
        <v>240</v>
      </c>
      <c r="N22" s="2"/>
      <c r="O22" s="2" t="s">
        <v>1405</v>
      </c>
      <c r="P22" s="27" t="s">
        <v>181</v>
      </c>
      <c r="Q22" s="2"/>
      <c r="S22" s="21" t="s">
        <v>429</v>
      </c>
      <c r="T22" s="22" t="s">
        <v>428</v>
      </c>
      <c r="V22" s="18" t="s">
        <v>522</v>
      </c>
      <c r="W22" s="18" t="s">
        <v>521</v>
      </c>
    </row>
    <row r="23" spans="12:23" x14ac:dyDescent="0.25">
      <c r="L23" s="1" t="s">
        <v>243</v>
      </c>
      <c r="M23" s="1" t="s">
        <v>242</v>
      </c>
      <c r="N23" s="2"/>
      <c r="O23" s="2" t="s">
        <v>1404</v>
      </c>
      <c r="P23" s="27" t="s">
        <v>225</v>
      </c>
      <c r="Q23" s="2"/>
      <c r="S23" s="21" t="s">
        <v>431</v>
      </c>
      <c r="T23" s="22" t="s">
        <v>430</v>
      </c>
      <c r="V23" s="18" t="s">
        <v>524</v>
      </c>
      <c r="W23" s="18" t="s">
        <v>523</v>
      </c>
    </row>
    <row r="24" spans="12:23" x14ac:dyDescent="0.25">
      <c r="L24" s="1" t="s">
        <v>852</v>
      </c>
      <c r="M24" s="1" t="s">
        <v>239</v>
      </c>
      <c r="N24" s="2"/>
      <c r="O24" s="2" t="s">
        <v>1406</v>
      </c>
      <c r="P24" s="27" t="s">
        <v>204</v>
      </c>
      <c r="Q24" s="2"/>
      <c r="S24" s="21" t="s">
        <v>433</v>
      </c>
      <c r="T24" s="22" t="s">
        <v>432</v>
      </c>
      <c r="V24" s="18" t="s">
        <v>399</v>
      </c>
      <c r="W24" s="18" t="s">
        <v>525</v>
      </c>
    </row>
    <row r="25" spans="12:23" x14ac:dyDescent="0.25">
      <c r="L25" s="1" t="s">
        <v>358</v>
      </c>
      <c r="M25" s="1" t="s">
        <v>256</v>
      </c>
      <c r="N25" s="2"/>
      <c r="O25" s="2" t="s">
        <v>1402</v>
      </c>
      <c r="P25" s="27" t="s">
        <v>180</v>
      </c>
      <c r="Q25" s="2"/>
      <c r="S25" s="21" t="s">
        <v>395</v>
      </c>
      <c r="T25" s="22" t="s">
        <v>12</v>
      </c>
      <c r="V25" s="18" t="s">
        <v>397</v>
      </c>
      <c r="W25" s="18" t="s">
        <v>526</v>
      </c>
    </row>
    <row r="26" spans="12:23" x14ac:dyDescent="0.25">
      <c r="L26" s="1" t="s">
        <v>1417</v>
      </c>
      <c r="M26" s="1" t="s">
        <v>255</v>
      </c>
      <c r="N26" s="2"/>
      <c r="O26" s="2" t="s">
        <v>1401</v>
      </c>
      <c r="P26" s="27" t="s">
        <v>224</v>
      </c>
      <c r="Q26" s="2"/>
      <c r="S26" s="21" t="s">
        <v>396</v>
      </c>
      <c r="T26" s="22" t="s">
        <v>21</v>
      </c>
      <c r="V26" s="18" t="s">
        <v>403</v>
      </c>
      <c r="W26" s="18" t="s">
        <v>527</v>
      </c>
    </row>
    <row r="27" spans="12:23" x14ac:dyDescent="0.25">
      <c r="L27" s="1" t="s">
        <v>29</v>
      </c>
      <c r="M27" s="1" t="s">
        <v>250</v>
      </c>
      <c r="N27" s="2"/>
      <c r="O27" s="2" t="s">
        <v>1403</v>
      </c>
      <c r="P27" s="27" t="s">
        <v>203</v>
      </c>
      <c r="Q27" s="2"/>
      <c r="S27" s="21" t="s">
        <v>454</v>
      </c>
      <c r="T27" s="22" t="s">
        <v>16</v>
      </c>
      <c r="V27" s="18" t="s">
        <v>529</v>
      </c>
      <c r="W27" s="18" t="s">
        <v>528</v>
      </c>
    </row>
    <row r="28" spans="12:23" x14ac:dyDescent="0.25">
      <c r="L28" s="1" t="s">
        <v>325</v>
      </c>
      <c r="M28" s="1" t="s">
        <v>207</v>
      </c>
      <c r="N28" s="2"/>
      <c r="O28" s="21" t="s">
        <v>469</v>
      </c>
      <c r="P28" s="22" t="s">
        <v>33</v>
      </c>
      <c r="Q28" s="2"/>
      <c r="S28" s="21" t="s">
        <v>435</v>
      </c>
      <c r="T28" s="22" t="s">
        <v>435</v>
      </c>
      <c r="V28" s="18" t="s">
        <v>531</v>
      </c>
      <c r="W28" s="18" t="s">
        <v>530</v>
      </c>
    </row>
    <row r="29" spans="12:23" x14ac:dyDescent="0.25">
      <c r="L29" s="1" t="s">
        <v>339</v>
      </c>
      <c r="M29" s="1" t="s">
        <v>226</v>
      </c>
      <c r="N29" s="2"/>
      <c r="O29" s="2"/>
      <c r="P29" s="27"/>
      <c r="Q29" s="2"/>
      <c r="S29" s="21" t="s">
        <v>482</v>
      </c>
      <c r="T29" s="22" t="s">
        <v>481</v>
      </c>
      <c r="V29" s="18" t="s">
        <v>533</v>
      </c>
      <c r="W29" s="18" t="s">
        <v>532</v>
      </c>
    </row>
    <row r="30" spans="12:23" x14ac:dyDescent="0.25">
      <c r="L30" s="1" t="s">
        <v>308</v>
      </c>
      <c r="M30" s="1" t="s">
        <v>184</v>
      </c>
      <c r="N30" s="2"/>
      <c r="O30" s="2"/>
      <c r="P30" s="27"/>
      <c r="Q30" s="2"/>
      <c r="S30" s="21" t="s">
        <v>434</v>
      </c>
      <c r="T30" s="22" t="s">
        <v>62</v>
      </c>
      <c r="V30" s="18" t="s">
        <v>535</v>
      </c>
      <c r="W30" s="18" t="s">
        <v>534</v>
      </c>
    </row>
    <row r="31" spans="12:23" x14ac:dyDescent="0.25">
      <c r="L31" s="1" t="s">
        <v>374</v>
      </c>
      <c r="M31" s="1" t="s">
        <v>294</v>
      </c>
      <c r="N31" s="2"/>
      <c r="O31" s="2"/>
      <c r="P31" s="27"/>
      <c r="Q31" s="2"/>
      <c r="S31" s="21" t="s">
        <v>437</v>
      </c>
      <c r="T31" s="22" t="s">
        <v>436</v>
      </c>
      <c r="V31" s="18" t="s">
        <v>413</v>
      </c>
      <c r="W31" s="18" t="s">
        <v>536</v>
      </c>
    </row>
    <row r="32" spans="12:23" x14ac:dyDescent="0.25">
      <c r="L32" s="1" t="s">
        <v>853</v>
      </c>
      <c r="M32" s="1" t="s">
        <v>249</v>
      </c>
      <c r="N32" s="2"/>
      <c r="O32" s="2"/>
      <c r="P32" s="27"/>
      <c r="Q32" s="2"/>
      <c r="S32" s="21" t="s">
        <v>474</v>
      </c>
      <c r="T32" s="22" t="s">
        <v>473</v>
      </c>
      <c r="V32" s="18" t="s">
        <v>538</v>
      </c>
      <c r="W32" s="18" t="s">
        <v>537</v>
      </c>
    </row>
    <row r="33" spans="12:23" x14ac:dyDescent="0.25">
      <c r="L33" s="1" t="s">
        <v>46</v>
      </c>
      <c r="M33" s="1" t="s">
        <v>278</v>
      </c>
      <c r="N33" s="2"/>
      <c r="O33" s="2"/>
      <c r="P33" s="27"/>
      <c r="Q33" s="2"/>
      <c r="S33" s="21" t="s">
        <v>438</v>
      </c>
      <c r="T33" s="22" t="s">
        <v>31</v>
      </c>
      <c r="V33" s="18" t="s">
        <v>540</v>
      </c>
      <c r="W33" s="18" t="s">
        <v>539</v>
      </c>
    </row>
    <row r="34" spans="12:23" x14ac:dyDescent="0.25">
      <c r="L34" s="1" t="s">
        <v>284</v>
      </c>
      <c r="M34" s="1" t="s">
        <v>283</v>
      </c>
      <c r="N34" s="2"/>
      <c r="O34" s="2"/>
      <c r="P34" s="27"/>
      <c r="Q34" s="2"/>
      <c r="S34" s="21" t="s">
        <v>11</v>
      </c>
      <c r="T34" s="22" t="s">
        <v>11</v>
      </c>
      <c r="V34" s="18" t="s">
        <v>542</v>
      </c>
      <c r="W34" s="18" t="s">
        <v>541</v>
      </c>
    </row>
    <row r="35" spans="12:23" x14ac:dyDescent="0.25">
      <c r="L35" s="1" t="s">
        <v>280</v>
      </c>
      <c r="M35" s="1" t="s">
        <v>279</v>
      </c>
      <c r="N35" s="2"/>
      <c r="O35" s="2"/>
      <c r="P35" s="27"/>
      <c r="Q35" s="2"/>
      <c r="S35" s="21" t="s">
        <v>439</v>
      </c>
      <c r="T35" s="22" t="s">
        <v>439</v>
      </c>
      <c r="V35" s="18" t="s">
        <v>106</v>
      </c>
      <c r="W35" s="18" t="s">
        <v>543</v>
      </c>
    </row>
    <row r="36" spans="12:23" x14ac:dyDescent="0.25">
      <c r="L36" s="1" t="s">
        <v>282</v>
      </c>
      <c r="M36" s="1" t="s">
        <v>281</v>
      </c>
      <c r="N36" s="2"/>
      <c r="O36" s="2"/>
      <c r="P36" s="27"/>
      <c r="Q36" s="2"/>
      <c r="S36" s="21" t="s">
        <v>848</v>
      </c>
      <c r="T36" s="22" t="s">
        <v>25</v>
      </c>
      <c r="V36" s="18" t="s">
        <v>545</v>
      </c>
      <c r="W36" s="18" t="s">
        <v>544</v>
      </c>
    </row>
    <row r="37" spans="12:23" x14ac:dyDescent="0.25">
      <c r="L37" s="1" t="s">
        <v>286</v>
      </c>
      <c r="M37" s="1" t="s">
        <v>285</v>
      </c>
      <c r="N37" s="2"/>
      <c r="O37" s="2"/>
      <c r="P37" s="27"/>
      <c r="Q37" s="2"/>
      <c r="S37" s="21" t="s">
        <v>470</v>
      </c>
      <c r="T37" s="22" t="s">
        <v>35</v>
      </c>
      <c r="V37" s="18" t="s">
        <v>427</v>
      </c>
      <c r="W37" s="18" t="s">
        <v>546</v>
      </c>
    </row>
    <row r="38" spans="12:23" x14ac:dyDescent="0.25">
      <c r="L38" s="1" t="s">
        <v>162</v>
      </c>
      <c r="M38" s="1" t="s">
        <v>251</v>
      </c>
      <c r="N38" s="2"/>
      <c r="O38" s="2"/>
      <c r="P38" s="27"/>
      <c r="Q38" s="2"/>
      <c r="S38" s="21" t="s">
        <v>387</v>
      </c>
      <c r="T38" s="22" t="s">
        <v>386</v>
      </c>
      <c r="V38" s="18" t="s">
        <v>548</v>
      </c>
      <c r="W38" s="18" t="s">
        <v>547</v>
      </c>
    </row>
    <row r="39" spans="12:23" x14ac:dyDescent="0.25">
      <c r="L39" s="1" t="s">
        <v>340</v>
      </c>
      <c r="M39" s="1" t="s">
        <v>227</v>
      </c>
      <c r="N39" s="2"/>
      <c r="O39" s="2"/>
      <c r="P39" s="27"/>
      <c r="Q39" s="2"/>
      <c r="S39" s="21" t="s">
        <v>441</v>
      </c>
      <c r="T39" s="22" t="s">
        <v>440</v>
      </c>
      <c r="V39" s="18" t="s">
        <v>15</v>
      </c>
      <c r="W39" s="18" t="s">
        <v>549</v>
      </c>
    </row>
    <row r="40" spans="12:23" x14ac:dyDescent="0.25">
      <c r="L40" s="1" t="s">
        <v>309</v>
      </c>
      <c r="M40" s="1" t="s">
        <v>185</v>
      </c>
      <c r="N40" s="2"/>
      <c r="O40" s="2"/>
      <c r="P40" s="27"/>
      <c r="Q40" s="2"/>
      <c r="S40" s="21" t="s">
        <v>410</v>
      </c>
      <c r="T40" s="22" t="s">
        <v>409</v>
      </c>
      <c r="V40" s="18" t="s">
        <v>435</v>
      </c>
      <c r="W40" s="18" t="s">
        <v>550</v>
      </c>
    </row>
    <row r="41" spans="12:23" x14ac:dyDescent="0.25">
      <c r="L41" s="1" t="s">
        <v>309</v>
      </c>
      <c r="M41" s="1" t="s">
        <v>208</v>
      </c>
      <c r="N41" s="2"/>
      <c r="O41" s="2"/>
      <c r="P41" s="27"/>
      <c r="Q41" s="2"/>
      <c r="S41" s="21" t="s">
        <v>412</v>
      </c>
      <c r="T41" s="22" t="s">
        <v>411</v>
      </c>
      <c r="V41" s="18" t="s">
        <v>552</v>
      </c>
      <c r="W41" s="18" t="s">
        <v>551</v>
      </c>
    </row>
    <row r="42" spans="12:23" x14ac:dyDescent="0.25">
      <c r="L42" s="1" t="s">
        <v>310</v>
      </c>
      <c r="M42" s="1" t="s">
        <v>186</v>
      </c>
      <c r="N42" s="2"/>
      <c r="O42" s="2"/>
      <c r="P42" s="27"/>
      <c r="Q42" s="2"/>
      <c r="S42" s="21" t="s">
        <v>443</v>
      </c>
      <c r="T42" s="22" t="s">
        <v>442</v>
      </c>
      <c r="V42" s="18" t="s">
        <v>434</v>
      </c>
      <c r="W42" s="18" t="s">
        <v>553</v>
      </c>
    </row>
    <row r="43" spans="12:23" x14ac:dyDescent="0.25">
      <c r="L43" s="1" t="s">
        <v>360</v>
      </c>
      <c r="M43" s="1" t="s">
        <v>1390</v>
      </c>
      <c r="N43" s="2"/>
      <c r="O43" s="2"/>
      <c r="P43" s="27"/>
      <c r="Q43" s="2"/>
      <c r="S43" s="21" t="s">
        <v>453</v>
      </c>
      <c r="T43" s="22" t="s">
        <v>37</v>
      </c>
      <c r="V43" s="18" t="s">
        <v>555</v>
      </c>
      <c r="W43" s="18" t="s">
        <v>554</v>
      </c>
    </row>
    <row r="44" spans="12:23" x14ac:dyDescent="0.25">
      <c r="L44" s="1" t="s">
        <v>359</v>
      </c>
      <c r="M44" s="1" t="s">
        <v>1391</v>
      </c>
      <c r="N44" s="2"/>
      <c r="O44" s="2"/>
      <c r="P44" s="27"/>
      <c r="Q44" s="2"/>
      <c r="S44" s="21" t="s">
        <v>446</v>
      </c>
      <c r="T44" s="22" t="s">
        <v>48</v>
      </c>
      <c r="V44" s="18" t="s">
        <v>557</v>
      </c>
      <c r="W44" s="18" t="s">
        <v>556</v>
      </c>
    </row>
    <row r="45" spans="12:23" x14ac:dyDescent="0.25">
      <c r="L45" s="1" t="s">
        <v>359</v>
      </c>
      <c r="M45" s="1" t="s">
        <v>1392</v>
      </c>
      <c r="N45" s="2"/>
      <c r="O45" s="2"/>
      <c r="P45" s="27"/>
      <c r="Q45" s="2"/>
      <c r="S45" s="21" t="s">
        <v>500</v>
      </c>
      <c r="T45" s="22" t="s">
        <v>499</v>
      </c>
      <c r="V45" s="18" t="s">
        <v>559</v>
      </c>
      <c r="W45" s="18" t="s">
        <v>558</v>
      </c>
    </row>
    <row r="46" spans="12:23" x14ac:dyDescent="0.25">
      <c r="L46" s="1" t="s">
        <v>361</v>
      </c>
      <c r="M46" s="1" t="s">
        <v>1393</v>
      </c>
      <c r="N46" s="2"/>
      <c r="O46" s="2"/>
      <c r="P46" s="27"/>
      <c r="Q46" s="2"/>
      <c r="S46" s="21" t="s">
        <v>489</v>
      </c>
      <c r="T46" s="22" t="s">
        <v>57</v>
      </c>
      <c r="V46" s="18" t="s">
        <v>561</v>
      </c>
      <c r="W46" s="18" t="s">
        <v>560</v>
      </c>
    </row>
    <row r="47" spans="12:23" x14ac:dyDescent="0.25">
      <c r="L47" s="1" t="s">
        <v>356</v>
      </c>
      <c r="M47" s="1" t="s">
        <v>253</v>
      </c>
      <c r="N47" s="2"/>
      <c r="O47" s="2"/>
      <c r="P47" s="27"/>
      <c r="Q47" s="2"/>
      <c r="S47" s="21" t="s">
        <v>490</v>
      </c>
      <c r="T47" s="22" t="s">
        <v>51</v>
      </c>
      <c r="V47" s="18" t="s">
        <v>563</v>
      </c>
      <c r="W47" s="18" t="s">
        <v>562</v>
      </c>
    </row>
    <row r="48" spans="12:23" x14ac:dyDescent="0.25">
      <c r="L48" s="1" t="s">
        <v>259</v>
      </c>
      <c r="M48" s="1" t="s">
        <v>513</v>
      </c>
      <c r="N48" s="2"/>
      <c r="O48" s="2"/>
      <c r="P48" s="27"/>
      <c r="Q48" s="2"/>
      <c r="S48" s="21" t="s">
        <v>492</v>
      </c>
      <c r="T48" s="22" t="s">
        <v>491</v>
      </c>
      <c r="V48" s="18" t="s">
        <v>565</v>
      </c>
      <c r="W48" s="18" t="s">
        <v>564</v>
      </c>
    </row>
    <row r="49" spans="12:23" x14ac:dyDescent="0.25">
      <c r="L49" s="1" t="s">
        <v>257</v>
      </c>
      <c r="M49" s="1" t="s">
        <v>511</v>
      </c>
      <c r="N49" s="2"/>
      <c r="O49" s="2"/>
      <c r="P49" s="27"/>
      <c r="Q49" s="2"/>
      <c r="S49" s="21" t="s">
        <v>494</v>
      </c>
      <c r="T49" s="22" t="s">
        <v>53</v>
      </c>
      <c r="V49" s="18" t="s">
        <v>438</v>
      </c>
      <c r="W49" s="18" t="s">
        <v>566</v>
      </c>
    </row>
    <row r="50" spans="12:23" x14ac:dyDescent="0.25">
      <c r="L50" s="1" t="s">
        <v>258</v>
      </c>
      <c r="M50" s="1" t="s">
        <v>512</v>
      </c>
      <c r="N50" s="2"/>
      <c r="O50" s="2"/>
      <c r="P50" s="27"/>
      <c r="Q50" s="2"/>
      <c r="S50" s="21" t="s">
        <v>844</v>
      </c>
      <c r="T50" s="22" t="s">
        <v>495</v>
      </c>
      <c r="V50" s="18" t="s">
        <v>568</v>
      </c>
      <c r="W50" s="18" t="s">
        <v>567</v>
      </c>
    </row>
    <row r="51" spans="12:23" x14ac:dyDescent="0.25">
      <c r="L51" s="1" t="s">
        <v>26</v>
      </c>
      <c r="M51" s="1" t="s">
        <v>252</v>
      </c>
      <c r="N51" s="2"/>
      <c r="O51" s="2"/>
      <c r="P51" s="27"/>
      <c r="Q51" s="2"/>
      <c r="S51" s="21" t="s">
        <v>845</v>
      </c>
      <c r="T51" s="22" t="s">
        <v>496</v>
      </c>
      <c r="V51" s="18" t="s">
        <v>570</v>
      </c>
      <c r="W51" s="18" t="s">
        <v>569</v>
      </c>
    </row>
    <row r="52" spans="12:23" x14ac:dyDescent="0.25">
      <c r="L52" s="1" t="s">
        <v>7</v>
      </c>
      <c r="M52" s="1" t="s">
        <v>268</v>
      </c>
      <c r="N52" s="2"/>
      <c r="O52" s="2"/>
      <c r="P52" s="27"/>
      <c r="Q52" s="2"/>
      <c r="S52" s="21" t="s">
        <v>846</v>
      </c>
      <c r="T52" s="22" t="s">
        <v>56</v>
      </c>
      <c r="V52" s="18" t="s">
        <v>439</v>
      </c>
      <c r="W52" s="18" t="s">
        <v>571</v>
      </c>
    </row>
    <row r="53" spans="12:23" x14ac:dyDescent="0.25">
      <c r="L53" s="1" t="s">
        <v>315</v>
      </c>
      <c r="M53" s="1" t="s">
        <v>192</v>
      </c>
      <c r="N53" s="2"/>
      <c r="O53" s="2"/>
      <c r="P53" s="27"/>
      <c r="Q53" s="2"/>
      <c r="S53" s="21" t="s">
        <v>502</v>
      </c>
      <c r="T53" s="22" t="s">
        <v>501</v>
      </c>
      <c r="V53" s="18" t="s">
        <v>573</v>
      </c>
      <c r="W53" s="18" t="s">
        <v>572</v>
      </c>
    </row>
    <row r="54" spans="12:23" x14ac:dyDescent="0.25">
      <c r="L54" s="1" t="s">
        <v>854</v>
      </c>
      <c r="M54" s="1" t="s">
        <v>191</v>
      </c>
      <c r="N54" s="2"/>
      <c r="O54" s="2"/>
      <c r="P54" s="27"/>
      <c r="Q54" s="2"/>
      <c r="S54" s="21" t="s">
        <v>497</v>
      </c>
      <c r="T54" s="22" t="s">
        <v>61</v>
      </c>
      <c r="V54" s="18" t="s">
        <v>1428</v>
      </c>
      <c r="W54" s="18" t="s">
        <v>574</v>
      </c>
    </row>
    <row r="55" spans="12:23" x14ac:dyDescent="0.25">
      <c r="L55" s="1" t="s">
        <v>330</v>
      </c>
      <c r="M55" s="1" t="s">
        <v>214</v>
      </c>
      <c r="N55" s="2"/>
      <c r="O55" s="2"/>
      <c r="P55" s="27"/>
      <c r="Q55" s="2"/>
      <c r="S55" s="21" t="s">
        <v>503</v>
      </c>
      <c r="T55" s="22" t="s">
        <v>58</v>
      </c>
      <c r="V55" s="18" t="s">
        <v>576</v>
      </c>
      <c r="W55" s="18" t="s">
        <v>575</v>
      </c>
    </row>
    <row r="56" spans="12:23" x14ac:dyDescent="0.25">
      <c r="L56" s="1" t="s">
        <v>855</v>
      </c>
      <c r="M56" s="1" t="s">
        <v>213</v>
      </c>
      <c r="N56" s="2"/>
      <c r="O56" s="2"/>
      <c r="P56" s="27"/>
      <c r="Q56" s="2"/>
      <c r="S56" s="21" t="s">
        <v>863</v>
      </c>
      <c r="T56" s="22" t="s">
        <v>55</v>
      </c>
      <c r="V56" s="18" t="s">
        <v>578</v>
      </c>
      <c r="W56" s="18" t="s">
        <v>577</v>
      </c>
    </row>
    <row r="57" spans="12:23" x14ac:dyDescent="0.25">
      <c r="L57" s="1" t="s">
        <v>363</v>
      </c>
      <c r="M57" s="1" t="s">
        <v>270</v>
      </c>
      <c r="N57" s="2"/>
      <c r="O57" s="2"/>
      <c r="P57" s="27"/>
      <c r="Q57" s="2"/>
      <c r="S57" s="21" t="s">
        <v>493</v>
      </c>
      <c r="T57" s="22" t="s">
        <v>52</v>
      </c>
      <c r="V57" s="18" t="s">
        <v>580</v>
      </c>
      <c r="W57" s="18" t="s">
        <v>579</v>
      </c>
    </row>
    <row r="58" spans="12:23" x14ac:dyDescent="0.25">
      <c r="L58" s="1" t="s">
        <v>195</v>
      </c>
      <c r="M58" s="1" t="s">
        <v>194</v>
      </c>
      <c r="N58" s="2"/>
      <c r="O58" s="2"/>
      <c r="P58" s="27"/>
      <c r="Q58" s="2"/>
      <c r="S58" s="21" t="s">
        <v>505</v>
      </c>
      <c r="T58" s="22" t="s">
        <v>504</v>
      </c>
      <c r="V58" s="18" t="s">
        <v>582</v>
      </c>
      <c r="W58" s="18" t="s">
        <v>581</v>
      </c>
    </row>
    <row r="59" spans="12:23" x14ac:dyDescent="0.25">
      <c r="L59" s="1" t="s">
        <v>217</v>
      </c>
      <c r="M59" s="1" t="s">
        <v>216</v>
      </c>
      <c r="N59" s="2"/>
      <c r="O59" s="2"/>
      <c r="P59" s="27"/>
      <c r="Q59" s="2"/>
      <c r="S59" s="21" t="s">
        <v>507</v>
      </c>
      <c r="T59" s="22" t="s">
        <v>506</v>
      </c>
      <c r="V59" s="18" t="s">
        <v>584</v>
      </c>
      <c r="W59" s="18" t="s">
        <v>583</v>
      </c>
    </row>
    <row r="60" spans="12:23" x14ac:dyDescent="0.25">
      <c r="L60" s="1" t="s">
        <v>362</v>
      </c>
      <c r="M60" s="1" t="s">
        <v>269</v>
      </c>
      <c r="N60" s="2"/>
      <c r="O60" s="2"/>
      <c r="P60" s="27"/>
      <c r="Q60" s="2"/>
      <c r="S60" s="21" t="s">
        <v>858</v>
      </c>
      <c r="T60" s="22" t="s">
        <v>63</v>
      </c>
      <c r="V60" s="18" t="s">
        <v>449</v>
      </c>
      <c r="W60" s="18" t="s">
        <v>585</v>
      </c>
    </row>
    <row r="61" spans="12:23" x14ac:dyDescent="0.25">
      <c r="L61" s="1" t="s">
        <v>316</v>
      </c>
      <c r="M61" s="1" t="s">
        <v>193</v>
      </c>
      <c r="N61" s="2"/>
      <c r="O61" s="2"/>
      <c r="P61" s="27"/>
      <c r="Q61" s="2"/>
      <c r="S61" s="21" t="s">
        <v>465</v>
      </c>
      <c r="T61" s="22" t="s">
        <v>49</v>
      </c>
      <c r="V61" s="18" t="s">
        <v>587</v>
      </c>
      <c r="W61" s="18" t="s">
        <v>586</v>
      </c>
    </row>
    <row r="62" spans="12:23" x14ac:dyDescent="0.25">
      <c r="L62" s="1" t="s">
        <v>331</v>
      </c>
      <c r="M62" s="1" t="s">
        <v>215</v>
      </c>
      <c r="N62" s="2"/>
      <c r="O62" s="2"/>
      <c r="P62" s="27"/>
      <c r="Q62" s="2"/>
      <c r="S62" s="21" t="s">
        <v>451</v>
      </c>
      <c r="T62" s="22" t="s">
        <v>39</v>
      </c>
      <c r="V62" s="18" t="s">
        <v>27</v>
      </c>
      <c r="W62" s="18" t="s">
        <v>588</v>
      </c>
    </row>
    <row r="63" spans="12:23" x14ac:dyDescent="0.25">
      <c r="L63" s="1" t="s">
        <v>856</v>
      </c>
      <c r="M63" s="1" t="s">
        <v>267</v>
      </c>
      <c r="N63" s="2"/>
      <c r="O63" s="2"/>
      <c r="P63" s="27"/>
      <c r="Q63" s="2"/>
      <c r="S63" s="21" t="s">
        <v>1428</v>
      </c>
      <c r="T63" s="22" t="s">
        <v>24</v>
      </c>
      <c r="V63" s="18" t="s">
        <v>590</v>
      </c>
      <c r="W63" s="18" t="s">
        <v>589</v>
      </c>
    </row>
    <row r="64" spans="12:23" x14ac:dyDescent="0.25">
      <c r="L64" s="1" t="s">
        <v>364</v>
      </c>
      <c r="M64" s="1" t="s">
        <v>271</v>
      </c>
      <c r="N64" s="2"/>
      <c r="O64" s="2"/>
      <c r="P64" s="27"/>
      <c r="Q64" s="2"/>
      <c r="S64" s="21" t="s">
        <v>445</v>
      </c>
      <c r="T64" s="22" t="s">
        <v>444</v>
      </c>
      <c r="V64" s="18" t="s">
        <v>466</v>
      </c>
      <c r="W64" s="18" t="s">
        <v>591</v>
      </c>
    </row>
    <row r="65" spans="12:23" x14ac:dyDescent="0.25">
      <c r="L65" s="1" t="s">
        <v>317</v>
      </c>
      <c r="M65" s="1" t="s">
        <v>196</v>
      </c>
      <c r="N65" s="2"/>
      <c r="O65" s="2"/>
      <c r="P65" s="27"/>
      <c r="Q65" s="2"/>
      <c r="S65" s="21" t="s">
        <v>448</v>
      </c>
      <c r="T65" s="22" t="s">
        <v>447</v>
      </c>
      <c r="V65" s="18" t="s">
        <v>593</v>
      </c>
      <c r="W65" s="18" t="s">
        <v>592</v>
      </c>
    </row>
    <row r="66" spans="12:23" x14ac:dyDescent="0.25">
      <c r="L66" s="1" t="s">
        <v>332</v>
      </c>
      <c r="M66" s="1" t="s">
        <v>218</v>
      </c>
      <c r="N66" s="2"/>
      <c r="O66" s="2"/>
      <c r="P66" s="27"/>
      <c r="Q66" s="2"/>
      <c r="S66" s="21" t="s">
        <v>449</v>
      </c>
      <c r="T66" s="22" t="s">
        <v>449</v>
      </c>
      <c r="V66" s="18" t="s">
        <v>595</v>
      </c>
      <c r="W66" s="18" t="s">
        <v>594</v>
      </c>
    </row>
    <row r="67" spans="12:23" x14ac:dyDescent="0.25">
      <c r="L67" s="1" t="s">
        <v>23</v>
      </c>
      <c r="M67" s="1" t="s">
        <v>289</v>
      </c>
      <c r="N67" s="2"/>
      <c r="O67" s="2"/>
      <c r="P67" s="27"/>
      <c r="Q67" s="2"/>
      <c r="S67" s="21" t="s">
        <v>384</v>
      </c>
      <c r="T67" s="22" t="s">
        <v>383</v>
      </c>
      <c r="V67" s="18" t="s">
        <v>597</v>
      </c>
      <c r="W67" s="18" t="s">
        <v>596</v>
      </c>
    </row>
    <row r="68" spans="12:23" x14ac:dyDescent="0.25">
      <c r="L68" s="1" t="s">
        <v>857</v>
      </c>
      <c r="M68" s="1" t="s">
        <v>288</v>
      </c>
      <c r="N68" s="2"/>
      <c r="O68" s="2"/>
      <c r="P68" s="27"/>
      <c r="Q68" s="2"/>
      <c r="S68" s="21" t="s">
        <v>450</v>
      </c>
      <c r="T68" s="22" t="s">
        <v>64</v>
      </c>
      <c r="V68" s="18" t="s">
        <v>599</v>
      </c>
      <c r="W68" s="18" t="s">
        <v>598</v>
      </c>
    </row>
    <row r="69" spans="12:23" x14ac:dyDescent="0.25">
      <c r="L69" s="1" t="s">
        <v>369</v>
      </c>
      <c r="M69" s="1" t="s">
        <v>287</v>
      </c>
      <c r="N69" s="2"/>
      <c r="O69" s="2"/>
      <c r="P69" s="27"/>
      <c r="Q69" s="2"/>
      <c r="S69" s="21" t="s">
        <v>464</v>
      </c>
      <c r="T69" s="22" t="s">
        <v>463</v>
      </c>
      <c r="V69" s="18" t="s">
        <v>601</v>
      </c>
      <c r="W69" s="18" t="s">
        <v>600</v>
      </c>
    </row>
    <row r="70" spans="12:23" x14ac:dyDescent="0.25">
      <c r="L70" s="1" t="s">
        <v>34</v>
      </c>
      <c r="M70" s="1" t="s">
        <v>260</v>
      </c>
      <c r="N70" s="2"/>
      <c r="O70" s="2"/>
      <c r="P70" s="27"/>
      <c r="Q70" s="2"/>
      <c r="S70" s="21" t="s">
        <v>466</v>
      </c>
      <c r="T70" s="22" t="s">
        <v>466</v>
      </c>
      <c r="V70" s="18" t="s">
        <v>603</v>
      </c>
      <c r="W70" s="18" t="s">
        <v>602</v>
      </c>
    </row>
    <row r="71" spans="12:23" x14ac:dyDescent="0.25">
      <c r="L71" s="1" t="s">
        <v>341</v>
      </c>
      <c r="M71" s="1" t="s">
        <v>228</v>
      </c>
      <c r="N71" s="2"/>
      <c r="O71" s="2"/>
      <c r="P71" s="27"/>
      <c r="Q71" s="2"/>
      <c r="S71" s="21" t="s">
        <v>468</v>
      </c>
      <c r="T71" s="22" t="s">
        <v>467</v>
      </c>
      <c r="V71" s="18" t="s">
        <v>605</v>
      </c>
      <c r="W71" s="18" t="s">
        <v>604</v>
      </c>
    </row>
    <row r="72" spans="12:23" x14ac:dyDescent="0.25">
      <c r="L72" s="1" t="s">
        <v>311</v>
      </c>
      <c r="M72" s="1" t="s">
        <v>187</v>
      </c>
      <c r="N72" s="2"/>
      <c r="O72" s="2"/>
      <c r="P72" s="27"/>
      <c r="Q72" s="2"/>
      <c r="S72" s="21" t="s">
        <v>484</v>
      </c>
      <c r="T72" s="22" t="s">
        <v>483</v>
      </c>
      <c r="V72" s="18" t="s">
        <v>607</v>
      </c>
      <c r="W72" s="18" t="s">
        <v>606</v>
      </c>
    </row>
    <row r="73" spans="12:23" x14ac:dyDescent="0.25">
      <c r="L73" s="1" t="s">
        <v>326</v>
      </c>
      <c r="M73" s="1" t="s">
        <v>209</v>
      </c>
      <c r="N73" s="2"/>
      <c r="O73" s="2"/>
      <c r="P73" s="27"/>
      <c r="Q73" s="2"/>
      <c r="S73" s="21" t="s">
        <v>462</v>
      </c>
      <c r="T73" s="22" t="s">
        <v>42</v>
      </c>
      <c r="V73" s="18" t="s">
        <v>609</v>
      </c>
      <c r="W73" s="18" t="s">
        <v>608</v>
      </c>
    </row>
    <row r="74" spans="12:23" x14ac:dyDescent="0.25">
      <c r="L74" s="1" t="s">
        <v>859</v>
      </c>
      <c r="M74" s="1" t="s">
        <v>261</v>
      </c>
      <c r="N74" s="2"/>
      <c r="O74" s="2"/>
      <c r="P74" s="27"/>
      <c r="Q74" s="2"/>
      <c r="S74" s="21" t="s">
        <v>456</v>
      </c>
      <c r="T74" s="22" t="s">
        <v>50</v>
      </c>
      <c r="V74" s="18" t="s">
        <v>611</v>
      </c>
      <c r="W74" s="18" t="s">
        <v>610</v>
      </c>
    </row>
    <row r="75" spans="12:23" x14ac:dyDescent="0.25">
      <c r="L75" s="1" t="s">
        <v>342</v>
      </c>
      <c r="M75" s="1" t="s">
        <v>229</v>
      </c>
      <c r="N75" s="2"/>
      <c r="O75" s="2"/>
      <c r="P75" s="27"/>
      <c r="Q75" s="2"/>
      <c r="S75" s="21" t="s">
        <v>457</v>
      </c>
      <c r="T75" s="22" t="s">
        <v>47</v>
      </c>
      <c r="V75" s="18" t="s">
        <v>613</v>
      </c>
      <c r="W75" s="18" t="s">
        <v>612</v>
      </c>
    </row>
    <row r="76" spans="12:23" x14ac:dyDescent="0.25">
      <c r="L76" s="1" t="s">
        <v>327</v>
      </c>
      <c r="M76" s="1" t="s">
        <v>210</v>
      </c>
      <c r="N76" s="2"/>
      <c r="O76" s="2"/>
      <c r="P76" s="27"/>
      <c r="Q76" s="2"/>
      <c r="S76" s="21" t="s">
        <v>459</v>
      </c>
      <c r="T76" s="22" t="s">
        <v>458</v>
      </c>
      <c r="V76" s="18" t="s">
        <v>478</v>
      </c>
      <c r="W76" s="18" t="s">
        <v>614</v>
      </c>
    </row>
    <row r="77" spans="12:23" x14ac:dyDescent="0.25">
      <c r="L77" s="1" t="s">
        <v>312</v>
      </c>
      <c r="M77" s="1" t="s">
        <v>188</v>
      </c>
      <c r="N77" s="2"/>
      <c r="O77" s="2"/>
      <c r="P77" s="27"/>
      <c r="Q77" s="2"/>
      <c r="S77" s="21" t="s">
        <v>461</v>
      </c>
      <c r="T77" s="22" t="s">
        <v>460</v>
      </c>
      <c r="V77" s="18" t="s">
        <v>616</v>
      </c>
      <c r="W77" s="18" t="s">
        <v>615</v>
      </c>
    </row>
    <row r="78" spans="12:23" x14ac:dyDescent="0.25">
      <c r="L78" s="1" t="s">
        <v>343</v>
      </c>
      <c r="M78" s="1" t="s">
        <v>230</v>
      </c>
      <c r="N78" s="2"/>
      <c r="O78" s="2"/>
      <c r="P78" s="27"/>
      <c r="Q78" s="2"/>
      <c r="S78" s="21" t="s">
        <v>424</v>
      </c>
      <c r="T78" s="22" t="s">
        <v>67</v>
      </c>
      <c r="V78" s="18" t="s">
        <v>618</v>
      </c>
      <c r="W78" s="18" t="s">
        <v>617</v>
      </c>
    </row>
    <row r="79" spans="12:23" x14ac:dyDescent="0.25">
      <c r="L79" s="1" t="s">
        <v>344</v>
      </c>
      <c r="M79" s="1" t="s">
        <v>231</v>
      </c>
      <c r="N79" s="2"/>
      <c r="O79" s="2"/>
      <c r="P79" s="27"/>
      <c r="Q79" s="2"/>
      <c r="S79" s="21" t="s">
        <v>394</v>
      </c>
      <c r="T79" s="22" t="s">
        <v>393</v>
      </c>
      <c r="V79" s="18" t="s">
        <v>620</v>
      </c>
      <c r="W79" s="18" t="s">
        <v>619</v>
      </c>
    </row>
    <row r="80" spans="12:23" x14ac:dyDescent="0.25">
      <c r="L80" s="1" t="s">
        <v>345</v>
      </c>
      <c r="M80" s="1" t="s">
        <v>232</v>
      </c>
      <c r="N80" s="2"/>
      <c r="O80" s="2"/>
      <c r="P80" s="27"/>
      <c r="Q80" s="2"/>
      <c r="S80" s="21" t="s">
        <v>382</v>
      </c>
      <c r="T80" s="22" t="s">
        <v>381</v>
      </c>
      <c r="V80" s="18" t="s">
        <v>622</v>
      </c>
      <c r="W80" s="18" t="s">
        <v>621</v>
      </c>
    </row>
    <row r="81" spans="12:23" x14ac:dyDescent="0.25">
      <c r="L81" s="1" t="s">
        <v>860</v>
      </c>
      <c r="M81" s="1" t="s">
        <v>262</v>
      </c>
      <c r="N81" s="2"/>
      <c r="O81" s="2"/>
      <c r="P81" s="27"/>
      <c r="Q81" s="2"/>
      <c r="S81" s="21" t="s">
        <v>476</v>
      </c>
      <c r="T81" s="22" t="s">
        <v>475</v>
      </c>
      <c r="V81" s="18" t="s">
        <v>624</v>
      </c>
      <c r="W81" s="18" t="s">
        <v>623</v>
      </c>
    </row>
    <row r="82" spans="12:23" x14ac:dyDescent="0.25">
      <c r="L82" s="1" t="s">
        <v>861</v>
      </c>
      <c r="M82" s="1" t="s">
        <v>263</v>
      </c>
      <c r="N82" s="2"/>
      <c r="O82" s="2"/>
      <c r="P82" s="27"/>
      <c r="Q82" s="2"/>
      <c r="S82" s="21" t="s">
        <v>452</v>
      </c>
      <c r="T82" s="22" t="s">
        <v>20</v>
      </c>
      <c r="V82" s="18" t="s">
        <v>626</v>
      </c>
      <c r="W82" s="18" t="s">
        <v>625</v>
      </c>
    </row>
    <row r="83" spans="12:23" x14ac:dyDescent="0.25">
      <c r="L83" s="1" t="s">
        <v>862</v>
      </c>
      <c r="M83" s="1" t="s">
        <v>264</v>
      </c>
      <c r="N83" s="2"/>
      <c r="O83" s="2"/>
      <c r="P83" s="27"/>
      <c r="Q83" s="2"/>
      <c r="S83" s="21" t="s">
        <v>2</v>
      </c>
      <c r="T83" s="22" t="s">
        <v>392</v>
      </c>
      <c r="V83" s="18" t="s">
        <v>628</v>
      </c>
      <c r="W83" s="18" t="s">
        <v>627</v>
      </c>
    </row>
    <row r="84" spans="12:23" x14ac:dyDescent="0.25">
      <c r="L84" s="1" t="s">
        <v>842</v>
      </c>
      <c r="M84" s="1" t="s">
        <v>265</v>
      </c>
      <c r="N84" s="2"/>
      <c r="O84" s="2"/>
      <c r="P84" s="27"/>
      <c r="Q84" s="2"/>
      <c r="S84" s="21" t="s">
        <v>477</v>
      </c>
      <c r="T84" s="22" t="s">
        <v>66</v>
      </c>
      <c r="V84" s="18" t="s">
        <v>630</v>
      </c>
      <c r="W84" s="18" t="s">
        <v>629</v>
      </c>
    </row>
    <row r="85" spans="12:23" x14ac:dyDescent="0.25">
      <c r="L85" s="1" t="s">
        <v>346</v>
      </c>
      <c r="M85" s="1" t="s">
        <v>233</v>
      </c>
      <c r="N85" s="2"/>
      <c r="O85" s="2"/>
      <c r="P85" s="27"/>
      <c r="Q85" s="2"/>
      <c r="S85" s="21" t="s">
        <v>478</v>
      </c>
      <c r="T85" s="22" t="s">
        <v>45</v>
      </c>
      <c r="V85" s="18" t="s">
        <v>632</v>
      </c>
      <c r="W85" s="18" t="s">
        <v>631</v>
      </c>
    </row>
    <row r="86" spans="12:23" x14ac:dyDescent="0.25">
      <c r="L86" s="1" t="s">
        <v>346</v>
      </c>
      <c r="M86" s="1" t="s">
        <v>233</v>
      </c>
      <c r="N86" s="2"/>
      <c r="O86" s="2"/>
      <c r="P86" s="27"/>
      <c r="Q86" s="2"/>
      <c r="S86" s="21" t="s">
        <v>380</v>
      </c>
      <c r="T86" s="22" t="s">
        <v>379</v>
      </c>
      <c r="V86" s="18" t="s">
        <v>634</v>
      </c>
      <c r="W86" s="18" t="s">
        <v>633</v>
      </c>
    </row>
    <row r="87" spans="12:23" x14ac:dyDescent="0.25">
      <c r="L87" s="1" t="s">
        <v>328</v>
      </c>
      <c r="M87" s="1" t="s">
        <v>211</v>
      </c>
      <c r="N87" s="2"/>
      <c r="O87" s="2"/>
      <c r="P87" s="27"/>
      <c r="Q87" s="2"/>
      <c r="S87" s="21" t="s">
        <v>480</v>
      </c>
      <c r="T87" s="22" t="s">
        <v>479</v>
      </c>
      <c r="V87" s="18" t="s">
        <v>636</v>
      </c>
      <c r="W87" s="18" t="s">
        <v>635</v>
      </c>
    </row>
    <row r="88" spans="12:23" x14ac:dyDescent="0.25">
      <c r="L88" s="1" t="s">
        <v>313</v>
      </c>
      <c r="M88" s="1" t="s">
        <v>189</v>
      </c>
      <c r="N88" s="2"/>
      <c r="O88" s="2"/>
      <c r="P88" s="27"/>
      <c r="Q88" s="2"/>
      <c r="S88" s="21" t="s">
        <v>469</v>
      </c>
      <c r="T88" s="22" t="s">
        <v>33</v>
      </c>
      <c r="V88" s="18" t="s">
        <v>638</v>
      </c>
      <c r="W88" s="18" t="s">
        <v>637</v>
      </c>
    </row>
    <row r="89" spans="12:23" x14ac:dyDescent="0.25">
      <c r="L89" s="1" t="s">
        <v>843</v>
      </c>
      <c r="M89" s="1" t="s">
        <v>266</v>
      </c>
      <c r="N89" s="2"/>
      <c r="O89" s="2"/>
      <c r="P89" s="27"/>
      <c r="Q89" s="2"/>
      <c r="S89" s="21" t="s">
        <v>389</v>
      </c>
      <c r="T89" s="22" t="s">
        <v>388</v>
      </c>
      <c r="V89" s="18" t="s">
        <v>640</v>
      </c>
      <c r="W89" s="18" t="s">
        <v>639</v>
      </c>
    </row>
    <row r="90" spans="12:23" x14ac:dyDescent="0.25">
      <c r="L90" s="1" t="s">
        <v>347</v>
      </c>
      <c r="M90" s="1" t="s">
        <v>234</v>
      </c>
      <c r="N90" s="2"/>
      <c r="O90" s="2"/>
      <c r="P90" s="27"/>
      <c r="Q90" s="2"/>
      <c r="S90" s="21" t="s">
        <v>841</v>
      </c>
      <c r="T90" s="22" t="s">
        <v>385</v>
      </c>
      <c r="V90" s="18" t="s">
        <v>956</v>
      </c>
      <c r="W90" s="18" t="s">
        <v>641</v>
      </c>
    </row>
    <row r="91" spans="12:23" x14ac:dyDescent="0.25">
      <c r="L91" s="1" t="s">
        <v>314</v>
      </c>
      <c r="M91" s="1" t="s">
        <v>190</v>
      </c>
      <c r="N91" s="2"/>
      <c r="O91" s="2"/>
      <c r="P91" s="27"/>
      <c r="Q91" s="2"/>
      <c r="S91" s="21" t="s">
        <v>378</v>
      </c>
      <c r="T91" s="22" t="s">
        <v>377</v>
      </c>
      <c r="V91" s="18" t="s">
        <v>642</v>
      </c>
      <c r="W91" s="18" t="s">
        <v>643</v>
      </c>
    </row>
    <row r="92" spans="12:23" x14ac:dyDescent="0.25">
      <c r="L92" s="1" t="s">
        <v>329</v>
      </c>
      <c r="M92" s="1" t="s">
        <v>212</v>
      </c>
      <c r="N92" s="2"/>
      <c r="O92" s="2"/>
      <c r="P92" s="27"/>
      <c r="Q92" s="2"/>
      <c r="S92" s="21" t="s">
        <v>486</v>
      </c>
      <c r="T92" s="22" t="s">
        <v>485</v>
      </c>
      <c r="V92" s="18" t="s">
        <v>645</v>
      </c>
      <c r="W92" s="18" t="s">
        <v>644</v>
      </c>
    </row>
    <row r="93" spans="12:23" x14ac:dyDescent="0.25">
      <c r="L93" s="1" t="s">
        <v>329</v>
      </c>
      <c r="M93" s="1" t="s">
        <v>212</v>
      </c>
      <c r="N93" s="2"/>
      <c r="O93" s="2"/>
      <c r="P93" s="27"/>
      <c r="Q93" s="2"/>
      <c r="S93" s="21" t="s">
        <v>455</v>
      </c>
      <c r="T93" s="22" t="s">
        <v>54</v>
      </c>
      <c r="V93" s="18" t="s">
        <v>647</v>
      </c>
      <c r="W93" s="18" t="s">
        <v>646</v>
      </c>
    </row>
    <row r="94" spans="12:23" x14ac:dyDescent="0.25">
      <c r="L94" s="1" t="s">
        <v>365</v>
      </c>
      <c r="M94" s="1" t="s">
        <v>274</v>
      </c>
      <c r="N94" s="2"/>
      <c r="O94" s="2"/>
      <c r="P94" s="27"/>
      <c r="Q94" s="2"/>
      <c r="S94" s="21" t="s">
        <v>498</v>
      </c>
      <c r="T94" s="22" t="s">
        <v>59</v>
      </c>
      <c r="V94" s="18" t="s">
        <v>486</v>
      </c>
      <c r="W94" s="18" t="s">
        <v>648</v>
      </c>
    </row>
    <row r="95" spans="12:23" ht="15.75" thickBot="1" x14ac:dyDescent="0.3">
      <c r="L95" s="1" t="s">
        <v>366</v>
      </c>
      <c r="M95" s="1" t="s">
        <v>275</v>
      </c>
      <c r="N95" s="2"/>
      <c r="O95" s="2"/>
      <c r="P95" s="27"/>
      <c r="Q95" s="2"/>
      <c r="S95" s="23" t="s">
        <v>488</v>
      </c>
      <c r="T95" s="24" t="s">
        <v>487</v>
      </c>
      <c r="V95" s="18" t="s">
        <v>650</v>
      </c>
      <c r="W95" s="18" t="s">
        <v>649</v>
      </c>
    </row>
    <row r="96" spans="12:23" x14ac:dyDescent="0.25">
      <c r="L96" s="1" t="s">
        <v>368</v>
      </c>
      <c r="M96" s="1" t="s">
        <v>277</v>
      </c>
      <c r="N96" s="2"/>
      <c r="O96" s="2"/>
      <c r="P96" s="27"/>
      <c r="Q96" s="2"/>
      <c r="S96" s="21" t="s">
        <v>847</v>
      </c>
      <c r="T96" s="22" t="s">
        <v>60</v>
      </c>
      <c r="V96" s="18" t="s">
        <v>652</v>
      </c>
      <c r="W96" s="18" t="s">
        <v>651</v>
      </c>
    </row>
    <row r="97" spans="12:23" x14ac:dyDescent="0.25">
      <c r="L97" s="1" t="s">
        <v>65</v>
      </c>
      <c r="M97" s="1" t="s">
        <v>295</v>
      </c>
      <c r="N97" s="2"/>
      <c r="O97" s="2"/>
      <c r="P97" s="27"/>
      <c r="Q97" s="2"/>
      <c r="S97" s="18" t="s">
        <v>955</v>
      </c>
      <c r="T97" s="18" t="s">
        <v>68</v>
      </c>
      <c r="V97" s="18" t="s">
        <v>654</v>
      </c>
      <c r="W97" s="18" t="s">
        <v>653</v>
      </c>
    </row>
    <row r="98" spans="12:23" x14ac:dyDescent="0.25">
      <c r="L98" s="1" t="s">
        <v>349</v>
      </c>
      <c r="M98" s="1" t="s">
        <v>236</v>
      </c>
      <c r="N98" s="2"/>
      <c r="O98" s="2"/>
      <c r="P98" s="27"/>
      <c r="Q98" s="2"/>
      <c r="S98" s="18" t="s">
        <v>973</v>
      </c>
      <c r="T98" s="18" t="s">
        <v>972</v>
      </c>
      <c r="V98" s="18" t="s">
        <v>656</v>
      </c>
      <c r="W98" s="18" t="s">
        <v>655</v>
      </c>
    </row>
    <row r="99" spans="12:23" x14ac:dyDescent="0.25">
      <c r="L99" s="1" t="s">
        <v>350</v>
      </c>
      <c r="M99" s="1" t="s">
        <v>237</v>
      </c>
      <c r="N99" s="2"/>
      <c r="O99" s="2"/>
      <c r="P99" s="27"/>
      <c r="Q99" s="2"/>
      <c r="S99" s="18" t="s">
        <v>1383</v>
      </c>
      <c r="T99" s="18" t="s">
        <v>73</v>
      </c>
      <c r="V99" s="18" t="s">
        <v>658</v>
      </c>
      <c r="W99" s="18" t="s">
        <v>657</v>
      </c>
    </row>
    <row r="100" spans="12:23" x14ac:dyDescent="0.25">
      <c r="L100" s="1" t="s">
        <v>335</v>
      </c>
      <c r="M100" s="1" t="s">
        <v>221</v>
      </c>
      <c r="N100" s="2"/>
      <c r="O100" s="2"/>
      <c r="P100" s="27"/>
      <c r="Q100" s="2"/>
      <c r="V100" s="18" t="s">
        <v>660</v>
      </c>
      <c r="W100" s="18" t="s">
        <v>659</v>
      </c>
    </row>
    <row r="101" spans="12:23" x14ac:dyDescent="0.25">
      <c r="L101" s="1" t="s">
        <v>302</v>
      </c>
      <c r="M101" s="1" t="s">
        <v>177</v>
      </c>
      <c r="N101" s="2"/>
      <c r="O101" s="2"/>
      <c r="P101" s="27"/>
      <c r="Q101" s="2"/>
      <c r="V101" s="18" t="s">
        <v>662</v>
      </c>
      <c r="W101" s="18" t="s">
        <v>661</v>
      </c>
    </row>
    <row r="102" spans="12:23" x14ac:dyDescent="0.25">
      <c r="L102" s="1" t="s">
        <v>302</v>
      </c>
      <c r="M102" s="1" t="s">
        <v>200</v>
      </c>
      <c r="N102" s="2"/>
      <c r="O102" s="2"/>
      <c r="P102" s="27"/>
      <c r="Q102" s="2"/>
      <c r="V102" s="18" t="s">
        <v>664</v>
      </c>
      <c r="W102" s="18" t="s">
        <v>663</v>
      </c>
    </row>
    <row r="103" spans="12:23" x14ac:dyDescent="0.25">
      <c r="L103" s="1" t="s">
        <v>334</v>
      </c>
      <c r="M103" s="1" t="s">
        <v>220</v>
      </c>
      <c r="N103" s="2"/>
      <c r="O103" s="2"/>
      <c r="P103" s="27"/>
      <c r="Q103" s="2"/>
      <c r="V103" s="18" t="s">
        <v>666</v>
      </c>
      <c r="W103" s="18" t="s">
        <v>665</v>
      </c>
    </row>
    <row r="104" spans="12:23" x14ac:dyDescent="0.25">
      <c r="L104" s="1" t="s">
        <v>301</v>
      </c>
      <c r="M104" s="1" t="s">
        <v>176</v>
      </c>
      <c r="N104" s="2"/>
      <c r="O104" s="2"/>
      <c r="P104" s="27"/>
      <c r="Q104" s="2"/>
      <c r="V104" s="18" t="s">
        <v>668</v>
      </c>
      <c r="W104" s="18" t="s">
        <v>667</v>
      </c>
    </row>
    <row r="105" spans="12:23" x14ac:dyDescent="0.25">
      <c r="L105" s="1" t="s">
        <v>320</v>
      </c>
      <c r="M105" s="1" t="s">
        <v>199</v>
      </c>
      <c r="N105" s="2"/>
      <c r="O105" s="2"/>
      <c r="P105" s="27"/>
      <c r="Q105" s="2"/>
      <c r="V105" s="18" t="s">
        <v>670</v>
      </c>
      <c r="W105" s="18" t="s">
        <v>669</v>
      </c>
    </row>
    <row r="106" spans="12:23" x14ac:dyDescent="0.25">
      <c r="L106" s="1" t="s">
        <v>348</v>
      </c>
      <c r="M106" s="1" t="s">
        <v>235</v>
      </c>
      <c r="N106" s="2"/>
      <c r="O106" s="2"/>
      <c r="P106" s="27"/>
      <c r="Q106" s="2"/>
      <c r="V106" s="18" t="s">
        <v>672</v>
      </c>
      <c r="W106" s="18" t="s">
        <v>671</v>
      </c>
    </row>
    <row r="107" spans="12:23" x14ac:dyDescent="0.25">
      <c r="L107" s="1" t="s">
        <v>351</v>
      </c>
      <c r="M107" s="1" t="s">
        <v>238</v>
      </c>
      <c r="N107" s="2"/>
      <c r="O107" s="2"/>
      <c r="P107" s="27"/>
      <c r="Q107" s="2"/>
      <c r="V107" s="18" t="s">
        <v>674</v>
      </c>
      <c r="W107" s="18" t="s">
        <v>673</v>
      </c>
    </row>
    <row r="108" spans="12:23" x14ac:dyDescent="0.25">
      <c r="L108" s="1" t="s">
        <v>336</v>
      </c>
      <c r="M108" s="1" t="s">
        <v>222</v>
      </c>
      <c r="N108" s="2"/>
      <c r="O108" s="2"/>
      <c r="P108" s="27"/>
      <c r="Q108" s="2"/>
      <c r="V108" s="18" t="s">
        <v>676</v>
      </c>
      <c r="W108" s="18" t="s">
        <v>675</v>
      </c>
    </row>
    <row r="109" spans="12:23" x14ac:dyDescent="0.25">
      <c r="L109" s="1" t="s">
        <v>303</v>
      </c>
      <c r="M109" s="1" t="s">
        <v>178</v>
      </c>
      <c r="N109" s="2"/>
      <c r="O109" s="2"/>
      <c r="P109" s="27"/>
      <c r="Q109" s="2"/>
      <c r="V109" s="18" t="s">
        <v>678</v>
      </c>
      <c r="W109" s="18" t="s">
        <v>677</v>
      </c>
    </row>
    <row r="110" spans="12:23" x14ac:dyDescent="0.25">
      <c r="L110" s="1" t="s">
        <v>303</v>
      </c>
      <c r="M110" s="1" t="s">
        <v>201</v>
      </c>
      <c r="N110" s="2"/>
      <c r="O110" s="2"/>
      <c r="P110" s="27"/>
      <c r="Q110" s="2"/>
      <c r="V110" s="18" t="s">
        <v>680</v>
      </c>
      <c r="W110" s="18" t="s">
        <v>679</v>
      </c>
    </row>
    <row r="111" spans="12:23" x14ac:dyDescent="0.25">
      <c r="L111" s="1" t="s">
        <v>333</v>
      </c>
      <c r="M111" s="1" t="s">
        <v>219</v>
      </c>
      <c r="N111" s="2"/>
      <c r="O111" s="2"/>
      <c r="P111" s="27"/>
      <c r="Q111" s="2"/>
      <c r="V111" s="18" t="s">
        <v>682</v>
      </c>
      <c r="W111" s="18" t="s">
        <v>681</v>
      </c>
    </row>
    <row r="112" spans="12:23" x14ac:dyDescent="0.25">
      <c r="L112" s="1" t="s">
        <v>300</v>
      </c>
      <c r="M112" s="1" t="s">
        <v>175</v>
      </c>
      <c r="N112" s="2"/>
      <c r="O112" s="2"/>
      <c r="P112" s="27"/>
      <c r="Q112" s="2"/>
      <c r="V112" s="18" t="s">
        <v>684</v>
      </c>
      <c r="W112" s="18" t="s">
        <v>683</v>
      </c>
    </row>
    <row r="113" spans="12:23" x14ac:dyDescent="0.25">
      <c r="L113" s="1" t="s">
        <v>319</v>
      </c>
      <c r="M113" s="1" t="s">
        <v>198</v>
      </c>
      <c r="N113" s="2"/>
      <c r="O113" s="2"/>
      <c r="P113" s="27"/>
      <c r="Q113" s="2"/>
      <c r="V113" s="18" t="s">
        <v>686</v>
      </c>
      <c r="W113" s="18" t="s">
        <v>685</v>
      </c>
    </row>
    <row r="114" spans="12:23" x14ac:dyDescent="0.25">
      <c r="L114" s="1" t="s">
        <v>352</v>
      </c>
      <c r="M114" s="1" t="s">
        <v>169</v>
      </c>
      <c r="N114" s="2"/>
      <c r="O114" s="2"/>
      <c r="P114" s="27"/>
      <c r="Q114" s="2"/>
      <c r="V114" s="18" t="s">
        <v>688</v>
      </c>
      <c r="W114" s="18" t="s">
        <v>687</v>
      </c>
    </row>
    <row r="115" spans="12:23" x14ac:dyDescent="0.25">
      <c r="L115" s="1" t="s">
        <v>353</v>
      </c>
      <c r="M115" s="1" t="s">
        <v>246</v>
      </c>
      <c r="N115" s="2"/>
      <c r="O115" s="2"/>
      <c r="P115" s="27"/>
      <c r="Q115" s="2"/>
      <c r="V115" s="18" t="s">
        <v>690</v>
      </c>
      <c r="W115" s="18" t="s">
        <v>689</v>
      </c>
    </row>
    <row r="116" spans="12:23" x14ac:dyDescent="0.25">
      <c r="L116" s="1" t="s">
        <v>338</v>
      </c>
      <c r="M116" s="1" t="s">
        <v>225</v>
      </c>
      <c r="N116" s="2"/>
      <c r="O116" s="2"/>
      <c r="P116" s="27"/>
      <c r="Q116" s="2"/>
      <c r="V116" s="18" t="s">
        <v>692</v>
      </c>
      <c r="W116" s="18" t="s">
        <v>691</v>
      </c>
    </row>
    <row r="117" spans="12:23" x14ac:dyDescent="0.25">
      <c r="L117" s="1" t="s">
        <v>305</v>
      </c>
      <c r="M117" s="1" t="s">
        <v>181</v>
      </c>
      <c r="N117" s="2"/>
      <c r="O117" s="2"/>
      <c r="P117" s="27"/>
      <c r="Q117" s="2"/>
      <c r="V117" s="18" t="s">
        <v>694</v>
      </c>
      <c r="W117" s="18" t="s">
        <v>693</v>
      </c>
    </row>
    <row r="118" spans="12:23" x14ac:dyDescent="0.25">
      <c r="L118" s="1" t="s">
        <v>322</v>
      </c>
      <c r="M118" s="1" t="s">
        <v>204</v>
      </c>
      <c r="N118" s="2"/>
      <c r="O118" s="2"/>
      <c r="P118" s="27"/>
      <c r="Q118" s="2"/>
      <c r="V118" s="18" t="s">
        <v>696</v>
      </c>
      <c r="W118" s="18" t="s">
        <v>695</v>
      </c>
    </row>
    <row r="119" spans="12:23" x14ac:dyDescent="0.25">
      <c r="L119" s="1" t="s">
        <v>337</v>
      </c>
      <c r="M119" s="1" t="s">
        <v>224</v>
      </c>
      <c r="N119" s="2"/>
      <c r="O119" s="2"/>
      <c r="P119" s="27"/>
      <c r="Q119" s="2"/>
      <c r="V119" s="18" t="s">
        <v>698</v>
      </c>
      <c r="W119" s="18" t="s">
        <v>697</v>
      </c>
    </row>
    <row r="120" spans="12:23" x14ac:dyDescent="0.25">
      <c r="L120" s="1" t="s">
        <v>304</v>
      </c>
      <c r="M120" s="1" t="s">
        <v>180</v>
      </c>
      <c r="N120" s="2"/>
      <c r="O120" s="2"/>
      <c r="P120" s="27"/>
      <c r="Q120" s="2"/>
      <c r="V120" s="18" t="s">
        <v>700</v>
      </c>
      <c r="W120" s="18" t="s">
        <v>699</v>
      </c>
    </row>
    <row r="121" spans="12:23" x14ac:dyDescent="0.25">
      <c r="L121" s="1" t="s">
        <v>321</v>
      </c>
      <c r="M121" s="1" t="s">
        <v>203</v>
      </c>
      <c r="N121" s="2"/>
      <c r="O121" s="2"/>
      <c r="P121" s="27"/>
      <c r="Q121" s="2"/>
      <c r="V121" s="18" t="s">
        <v>702</v>
      </c>
      <c r="W121" s="18" t="s">
        <v>701</v>
      </c>
    </row>
    <row r="122" spans="12:23" x14ac:dyDescent="0.25">
      <c r="L122" s="1" t="s">
        <v>76</v>
      </c>
      <c r="M122" s="1" t="s">
        <v>297</v>
      </c>
      <c r="N122" s="2"/>
      <c r="O122" s="2"/>
      <c r="P122" s="27"/>
      <c r="Q122" s="2"/>
      <c r="V122" s="18" t="s">
        <v>704</v>
      </c>
      <c r="W122" s="18" t="s">
        <v>703</v>
      </c>
    </row>
    <row r="123" spans="12:23" x14ac:dyDescent="0.25">
      <c r="L123" s="1" t="s">
        <v>370</v>
      </c>
      <c r="M123" s="1" t="s">
        <v>290</v>
      </c>
      <c r="N123" s="2"/>
      <c r="O123" s="2"/>
      <c r="P123" s="27"/>
      <c r="Q123" s="2"/>
      <c r="V123" s="18" t="s">
        <v>706</v>
      </c>
      <c r="W123" s="18" t="s">
        <v>705</v>
      </c>
    </row>
    <row r="124" spans="12:23" x14ac:dyDescent="0.25">
      <c r="L124" s="1" t="s">
        <v>371</v>
      </c>
      <c r="M124" s="1" t="s">
        <v>291</v>
      </c>
      <c r="N124" s="2"/>
      <c r="O124" s="2"/>
      <c r="P124" s="27"/>
      <c r="Q124" s="2"/>
      <c r="V124" s="18" t="s">
        <v>708</v>
      </c>
      <c r="W124" s="18" t="s">
        <v>707</v>
      </c>
    </row>
    <row r="125" spans="12:23" x14ac:dyDescent="0.25">
      <c r="L125" s="1" t="s">
        <v>372</v>
      </c>
      <c r="M125" s="1" t="s">
        <v>292</v>
      </c>
      <c r="N125" s="2"/>
      <c r="O125" s="2"/>
      <c r="P125" s="27"/>
      <c r="Q125" s="2"/>
      <c r="V125" s="18" t="s">
        <v>6</v>
      </c>
      <c r="W125" s="18" t="s">
        <v>709</v>
      </c>
    </row>
    <row r="126" spans="12:23" x14ac:dyDescent="0.25">
      <c r="L126" s="1" t="s">
        <v>373</v>
      </c>
      <c r="M126" s="1" t="s">
        <v>293</v>
      </c>
      <c r="N126" s="2"/>
      <c r="O126" s="2"/>
      <c r="P126" s="27"/>
      <c r="Q126" s="2"/>
      <c r="V126" s="18" t="s">
        <v>710</v>
      </c>
      <c r="W126" s="18" t="s">
        <v>69</v>
      </c>
    </row>
    <row r="127" spans="12:23" x14ac:dyDescent="0.25">
      <c r="L127" s="1" t="s">
        <v>376</v>
      </c>
      <c r="M127" s="1" t="s">
        <v>298</v>
      </c>
      <c r="N127" s="2"/>
      <c r="O127" s="2"/>
      <c r="P127" s="27"/>
      <c r="Q127" s="2"/>
      <c r="V127" s="18" t="s">
        <v>711</v>
      </c>
      <c r="W127" s="18" t="s">
        <v>409</v>
      </c>
    </row>
    <row r="128" spans="12:23" x14ac:dyDescent="0.25">
      <c r="L128" s="29"/>
      <c r="M128" s="29"/>
      <c r="N128" s="2"/>
      <c r="O128" s="2"/>
      <c r="P128" s="27"/>
      <c r="Q128" s="2"/>
      <c r="V128" s="18" t="s">
        <v>712</v>
      </c>
      <c r="W128" s="18" t="s">
        <v>411</v>
      </c>
    </row>
    <row r="129" spans="12:23" x14ac:dyDescent="0.25">
      <c r="L129" s="29"/>
      <c r="M129" s="29"/>
      <c r="N129" s="2"/>
      <c r="O129" s="2"/>
      <c r="P129" s="27"/>
      <c r="Q129" s="2"/>
      <c r="V129" s="18" t="s">
        <v>713</v>
      </c>
      <c r="W129" s="18" t="s">
        <v>75</v>
      </c>
    </row>
    <row r="130" spans="12:23" x14ac:dyDescent="0.25">
      <c r="L130" s="29"/>
      <c r="M130" s="29"/>
      <c r="N130" s="2"/>
      <c r="O130" s="2"/>
      <c r="P130" s="27"/>
      <c r="Q130" s="2"/>
      <c r="V130" s="18" t="s">
        <v>715</v>
      </c>
      <c r="W130" s="18" t="s">
        <v>714</v>
      </c>
    </row>
    <row r="131" spans="12:23" x14ac:dyDescent="0.25">
      <c r="L131" s="29"/>
      <c r="M131" s="29"/>
      <c r="N131" s="2"/>
      <c r="O131" s="2"/>
      <c r="P131" s="27"/>
      <c r="Q131" s="2"/>
      <c r="V131" s="18" t="s">
        <v>413</v>
      </c>
      <c r="W131" s="18" t="s">
        <v>28</v>
      </c>
    </row>
    <row r="132" spans="12:23" x14ac:dyDescent="0.25">
      <c r="L132" s="29"/>
      <c r="M132" s="29"/>
      <c r="N132" s="2"/>
      <c r="O132" s="2"/>
      <c r="P132" s="27"/>
      <c r="Q132" s="2"/>
      <c r="V132" s="18" t="s">
        <v>716</v>
      </c>
      <c r="W132" s="18" t="s">
        <v>70</v>
      </c>
    </row>
    <row r="133" spans="12:23" x14ac:dyDescent="0.25">
      <c r="L133" s="29"/>
      <c r="M133" s="29"/>
      <c r="N133" s="2"/>
      <c r="O133" s="2"/>
      <c r="P133" s="27"/>
      <c r="Q133" s="2"/>
      <c r="V133" s="18" t="s">
        <v>717</v>
      </c>
      <c r="W133" s="18" t="s">
        <v>77</v>
      </c>
    </row>
    <row r="134" spans="12:23" x14ac:dyDescent="0.25">
      <c r="L134" s="29"/>
      <c r="M134" s="29"/>
      <c r="N134" s="2"/>
      <c r="O134" s="2"/>
      <c r="P134" s="27"/>
      <c r="Q134" s="2"/>
      <c r="V134" s="18" t="s">
        <v>548</v>
      </c>
      <c r="W134" s="18" t="s">
        <v>718</v>
      </c>
    </row>
    <row r="135" spans="12:23" x14ac:dyDescent="0.25">
      <c r="L135" s="29"/>
      <c r="M135" s="29"/>
      <c r="N135" s="2"/>
      <c r="O135" s="2"/>
      <c r="P135" s="27"/>
      <c r="Q135" s="2"/>
      <c r="V135" s="18" t="s">
        <v>719</v>
      </c>
      <c r="W135" s="18" t="s">
        <v>960</v>
      </c>
    </row>
    <row r="136" spans="12:23" x14ac:dyDescent="0.25">
      <c r="L136" s="29"/>
      <c r="M136" s="29"/>
      <c r="N136" s="2"/>
      <c r="O136" s="2"/>
      <c r="P136" s="27"/>
      <c r="Q136" s="2"/>
      <c r="V136" s="18" t="s">
        <v>720</v>
      </c>
      <c r="W136" s="18" t="s">
        <v>961</v>
      </c>
    </row>
    <row r="137" spans="12:23" x14ac:dyDescent="0.25">
      <c r="L137" s="29"/>
      <c r="M137" s="29"/>
      <c r="N137" s="2"/>
      <c r="O137" s="2"/>
      <c r="P137" s="27"/>
      <c r="Q137" s="2"/>
      <c r="V137" s="18" t="s">
        <v>722</v>
      </c>
      <c r="W137" s="18" t="s">
        <v>721</v>
      </c>
    </row>
    <row r="138" spans="12:23" x14ac:dyDescent="0.25">
      <c r="L138" s="29"/>
      <c r="M138" s="29"/>
      <c r="N138" s="2"/>
      <c r="O138" s="2"/>
      <c r="P138" s="27"/>
      <c r="Q138" s="2"/>
      <c r="V138" s="18" t="s">
        <v>724</v>
      </c>
      <c r="W138" s="18" t="s">
        <v>723</v>
      </c>
    </row>
    <row r="139" spans="12:23" x14ac:dyDescent="0.25">
      <c r="L139" s="1"/>
      <c r="M139" s="1"/>
      <c r="N139" s="2"/>
      <c r="O139" s="2"/>
      <c r="P139" s="27"/>
      <c r="Q139" s="2"/>
      <c r="V139" s="18" t="s">
        <v>726</v>
      </c>
      <c r="W139" s="18" t="s">
        <v>725</v>
      </c>
    </row>
    <row r="140" spans="12:23" x14ac:dyDescent="0.25">
      <c r="L140" s="29"/>
      <c r="M140" s="29"/>
      <c r="N140" s="2"/>
      <c r="O140" s="2"/>
      <c r="P140" s="27"/>
      <c r="Q140" s="2"/>
      <c r="V140" s="18" t="s">
        <v>727</v>
      </c>
      <c r="W140" s="18" t="s">
        <v>78</v>
      </c>
    </row>
    <row r="141" spans="12:23" x14ac:dyDescent="0.25">
      <c r="L141" s="29"/>
      <c r="M141" s="29"/>
      <c r="N141" s="2"/>
      <c r="O141" s="2"/>
      <c r="P141" s="27"/>
      <c r="Q141" s="2"/>
      <c r="V141" s="18" t="s">
        <v>111</v>
      </c>
      <c r="W141" s="18" t="s">
        <v>71</v>
      </c>
    </row>
    <row r="142" spans="12:23" x14ac:dyDescent="0.25">
      <c r="L142" s="29"/>
      <c r="M142" s="29"/>
      <c r="N142" s="2"/>
      <c r="O142" s="2"/>
      <c r="P142" s="27"/>
      <c r="Q142" s="2"/>
      <c r="V142" s="18" t="s">
        <v>729</v>
      </c>
      <c r="W142" s="18" t="s">
        <v>728</v>
      </c>
    </row>
    <row r="143" spans="12:23" x14ac:dyDescent="0.25">
      <c r="L143" s="29"/>
      <c r="M143" s="29"/>
      <c r="N143" s="2"/>
      <c r="O143" s="2"/>
      <c r="P143" s="27"/>
      <c r="Q143" s="2"/>
      <c r="V143" s="18" t="s">
        <v>731</v>
      </c>
      <c r="W143" s="18" t="s">
        <v>730</v>
      </c>
    </row>
    <row r="144" spans="12:23" x14ac:dyDescent="0.25">
      <c r="L144" s="29"/>
      <c r="M144" s="29"/>
      <c r="N144" s="2"/>
      <c r="O144" s="2"/>
      <c r="P144" s="27"/>
      <c r="Q144" s="2"/>
      <c r="V144" s="18" t="s">
        <v>733</v>
      </c>
      <c r="W144" s="18" t="s">
        <v>732</v>
      </c>
    </row>
    <row r="145" spans="12:23" x14ac:dyDescent="0.25">
      <c r="L145" s="29"/>
      <c r="M145" s="29"/>
      <c r="N145" s="2"/>
      <c r="O145" s="2"/>
      <c r="P145" s="27"/>
      <c r="Q145" s="2"/>
      <c r="V145" s="18" t="s">
        <v>735</v>
      </c>
      <c r="W145" s="18" t="s">
        <v>734</v>
      </c>
    </row>
    <row r="146" spans="12:23" x14ac:dyDescent="0.25">
      <c r="L146" s="29"/>
      <c r="M146" s="29"/>
      <c r="N146" s="2"/>
      <c r="O146" s="2"/>
      <c r="P146" s="27"/>
      <c r="Q146" s="2"/>
      <c r="V146" s="18" t="s">
        <v>737</v>
      </c>
      <c r="W146" s="18" t="s">
        <v>736</v>
      </c>
    </row>
    <row r="147" spans="12:23" x14ac:dyDescent="0.25">
      <c r="L147" s="29"/>
      <c r="M147" s="29"/>
      <c r="N147" s="2"/>
      <c r="O147" s="2"/>
      <c r="P147" s="27"/>
      <c r="Q147" s="2"/>
      <c r="V147" s="18" t="s">
        <v>738</v>
      </c>
      <c r="W147" s="18" t="s">
        <v>72</v>
      </c>
    </row>
    <row r="148" spans="12:23" x14ac:dyDescent="0.25">
      <c r="L148" s="29"/>
      <c r="M148" s="29"/>
      <c r="N148" s="2"/>
      <c r="O148" s="2"/>
      <c r="P148" s="27"/>
      <c r="Q148" s="2"/>
      <c r="V148" s="18" t="s">
        <v>740</v>
      </c>
      <c r="W148" s="18" t="s">
        <v>739</v>
      </c>
    </row>
    <row r="149" spans="12:23" x14ac:dyDescent="0.25">
      <c r="L149" s="29"/>
      <c r="M149" s="29"/>
      <c r="N149" s="2"/>
      <c r="O149" s="2"/>
      <c r="P149" s="27"/>
      <c r="Q149" s="2"/>
      <c r="V149" s="18" t="s">
        <v>742</v>
      </c>
      <c r="W149" s="18" t="s">
        <v>741</v>
      </c>
    </row>
    <row r="150" spans="12:23" x14ac:dyDescent="0.25">
      <c r="L150" s="29"/>
      <c r="M150" s="29"/>
      <c r="N150" s="2"/>
      <c r="O150" s="2"/>
      <c r="P150" s="27"/>
      <c r="Q150" s="2"/>
      <c r="V150" s="18" t="s">
        <v>744</v>
      </c>
      <c r="W150" s="18" t="s">
        <v>743</v>
      </c>
    </row>
    <row r="151" spans="12:23" x14ac:dyDescent="0.25">
      <c r="L151" s="29"/>
      <c r="M151" s="29"/>
      <c r="N151" s="2"/>
      <c r="O151" s="2"/>
      <c r="P151" s="27"/>
      <c r="Q151" s="2"/>
      <c r="V151" s="18" t="s">
        <v>745</v>
      </c>
      <c r="W151" s="18" t="s">
        <v>79</v>
      </c>
    </row>
    <row r="152" spans="12:23" x14ac:dyDescent="0.25">
      <c r="L152" s="29"/>
      <c r="M152" s="29"/>
      <c r="N152" s="2"/>
      <c r="O152" s="2"/>
      <c r="P152" s="27"/>
      <c r="Q152" s="2"/>
      <c r="V152" s="18" t="s">
        <v>747</v>
      </c>
      <c r="W152" s="18" t="s">
        <v>746</v>
      </c>
    </row>
    <row r="153" spans="12:23" x14ac:dyDescent="0.25">
      <c r="L153" s="29"/>
      <c r="M153" s="29"/>
      <c r="N153" s="2"/>
      <c r="O153" s="2"/>
      <c r="P153" s="27"/>
      <c r="Q153" s="2"/>
      <c r="V153" s="18" t="s">
        <v>749</v>
      </c>
      <c r="W153" s="18" t="s">
        <v>748</v>
      </c>
    </row>
    <row r="154" spans="12:23" x14ac:dyDescent="0.25">
      <c r="L154" s="29"/>
      <c r="M154" s="29"/>
      <c r="N154" s="2"/>
      <c r="O154" s="2"/>
      <c r="P154" s="27"/>
      <c r="Q154" s="2"/>
      <c r="V154" s="18" t="s">
        <v>751</v>
      </c>
      <c r="W154" s="18" t="s">
        <v>750</v>
      </c>
    </row>
    <row r="155" spans="12:23" x14ac:dyDescent="0.25">
      <c r="L155" s="29"/>
      <c r="M155" s="29"/>
      <c r="N155" s="2"/>
      <c r="O155" s="2"/>
      <c r="P155" s="27"/>
      <c r="Q155" s="2"/>
      <c r="V155" s="18" t="s">
        <v>753</v>
      </c>
      <c r="W155" s="18" t="s">
        <v>752</v>
      </c>
    </row>
    <row r="156" spans="12:23" x14ac:dyDescent="0.25">
      <c r="L156" s="29"/>
      <c r="M156" s="29"/>
      <c r="N156" s="2"/>
      <c r="O156" s="2"/>
      <c r="P156" s="27"/>
      <c r="Q156" s="2"/>
      <c r="V156" s="18" t="s">
        <v>755</v>
      </c>
      <c r="W156" s="18" t="s">
        <v>754</v>
      </c>
    </row>
    <row r="157" spans="12:23" x14ac:dyDescent="0.25">
      <c r="L157" s="29"/>
      <c r="M157" s="29"/>
      <c r="N157" s="2"/>
      <c r="O157" s="2"/>
      <c r="P157" s="27"/>
      <c r="Q157" s="2"/>
      <c r="V157" s="18" t="s">
        <v>757</v>
      </c>
      <c r="W157" s="18" t="s">
        <v>756</v>
      </c>
    </row>
    <row r="158" spans="12:23" x14ac:dyDescent="0.25">
      <c r="L158" s="29"/>
      <c r="M158" s="29"/>
      <c r="N158" s="2"/>
      <c r="O158" s="2"/>
      <c r="P158" s="27"/>
      <c r="Q158" s="2"/>
      <c r="V158" s="18" t="s">
        <v>759</v>
      </c>
      <c r="W158" s="18" t="s">
        <v>758</v>
      </c>
    </row>
    <row r="159" spans="12:23" x14ac:dyDescent="0.25">
      <c r="L159" s="29"/>
      <c r="M159" s="29"/>
      <c r="N159" s="2"/>
      <c r="O159" s="2"/>
      <c r="P159" s="27"/>
      <c r="Q159" s="2"/>
      <c r="V159" s="18" t="s">
        <v>761</v>
      </c>
      <c r="W159" s="18" t="s">
        <v>760</v>
      </c>
    </row>
    <row r="160" spans="12:23" x14ac:dyDescent="0.25">
      <c r="L160" s="29"/>
      <c r="M160" s="29"/>
      <c r="N160" s="2"/>
      <c r="O160" s="2"/>
      <c r="P160" s="27"/>
      <c r="Q160" s="2"/>
      <c r="V160" s="18" t="s">
        <v>762</v>
      </c>
      <c r="W160" s="18" t="s">
        <v>74</v>
      </c>
    </row>
    <row r="161" spans="12:23" x14ac:dyDescent="0.25">
      <c r="L161" s="29"/>
      <c r="M161" s="29"/>
      <c r="N161" s="2"/>
      <c r="O161" s="2"/>
      <c r="P161" s="27"/>
      <c r="Q161" s="2"/>
      <c r="V161" s="18" t="s">
        <v>764</v>
      </c>
      <c r="W161" s="18" t="s">
        <v>763</v>
      </c>
    </row>
    <row r="162" spans="12:23" x14ac:dyDescent="0.25">
      <c r="L162" s="29"/>
      <c r="M162" s="29"/>
      <c r="N162" s="2"/>
      <c r="O162" s="2"/>
      <c r="P162" s="27"/>
      <c r="Q162" s="2"/>
      <c r="V162" s="18" t="s">
        <v>469</v>
      </c>
      <c r="W162" s="18" t="s">
        <v>33</v>
      </c>
    </row>
    <row r="163" spans="12:23" x14ac:dyDescent="0.25">
      <c r="L163" s="29"/>
      <c r="M163" s="29"/>
      <c r="N163" s="2"/>
      <c r="O163" s="2"/>
      <c r="P163" s="27"/>
      <c r="Q163" s="2"/>
      <c r="V163" s="18" t="s">
        <v>766</v>
      </c>
      <c r="W163" s="18" t="s">
        <v>765</v>
      </c>
    </row>
    <row r="164" spans="12:23" x14ac:dyDescent="0.25">
      <c r="L164" s="29"/>
      <c r="M164" s="29"/>
      <c r="N164" s="2"/>
      <c r="O164" s="2"/>
      <c r="P164" s="27"/>
      <c r="Q164" s="2"/>
      <c r="V164" s="18" t="s">
        <v>768</v>
      </c>
      <c r="W164" s="18" t="s">
        <v>767</v>
      </c>
    </row>
    <row r="165" spans="12:23" x14ac:dyDescent="0.25">
      <c r="L165" s="29"/>
      <c r="M165" s="29"/>
      <c r="N165" s="2"/>
      <c r="O165" s="2"/>
      <c r="P165" s="27"/>
      <c r="Q165" s="2"/>
      <c r="V165" s="18" t="s">
        <v>770</v>
      </c>
      <c r="W165" s="18" t="s">
        <v>769</v>
      </c>
    </row>
    <row r="166" spans="12:23" x14ac:dyDescent="0.25">
      <c r="L166" s="29"/>
      <c r="M166" s="29"/>
      <c r="N166" s="2"/>
      <c r="O166" s="2"/>
      <c r="P166" s="27"/>
      <c r="Q166" s="2"/>
      <c r="V166" s="18" t="s">
        <v>772</v>
      </c>
      <c r="W166" s="18" t="s">
        <v>771</v>
      </c>
    </row>
    <row r="167" spans="12:23" x14ac:dyDescent="0.25">
      <c r="L167" s="29"/>
      <c r="M167" s="29"/>
      <c r="N167" s="2"/>
      <c r="O167" s="2"/>
      <c r="P167" s="27"/>
      <c r="Q167" s="2"/>
      <c r="V167" s="18" t="s">
        <v>773</v>
      </c>
      <c r="W167" s="18" t="s">
        <v>80</v>
      </c>
    </row>
    <row r="168" spans="12:23" x14ac:dyDescent="0.25">
      <c r="L168" s="29"/>
      <c r="M168" s="29"/>
      <c r="N168" s="2"/>
      <c r="O168" s="2"/>
      <c r="P168" s="27"/>
      <c r="Q168" s="2"/>
      <c r="V168" s="18" t="s">
        <v>1</v>
      </c>
      <c r="W168" s="18" t="s">
        <v>22</v>
      </c>
    </row>
    <row r="169" spans="12:23" x14ac:dyDescent="0.25">
      <c r="L169" s="29"/>
      <c r="M169" s="29"/>
      <c r="N169" s="2"/>
      <c r="O169" s="2"/>
      <c r="P169" s="27"/>
      <c r="Q169" s="2"/>
      <c r="V169" s="18" t="s">
        <v>775</v>
      </c>
      <c r="W169" s="18" t="s">
        <v>774</v>
      </c>
    </row>
    <row r="170" spans="12:23" x14ac:dyDescent="0.25">
      <c r="L170" s="29"/>
      <c r="M170" s="29"/>
      <c r="N170" s="2"/>
      <c r="O170" s="2"/>
      <c r="P170" s="27"/>
      <c r="Q170" s="2"/>
      <c r="V170" s="18" t="s">
        <v>777</v>
      </c>
      <c r="W170" s="18" t="s">
        <v>776</v>
      </c>
    </row>
    <row r="171" spans="12:23" x14ac:dyDescent="0.25">
      <c r="L171" s="29"/>
      <c r="M171" s="29"/>
      <c r="N171" s="2"/>
      <c r="O171" s="2"/>
      <c r="P171" s="27"/>
      <c r="Q171" s="2"/>
      <c r="V171" s="18" t="s">
        <v>779</v>
      </c>
      <c r="W171" s="18" t="s">
        <v>778</v>
      </c>
    </row>
    <row r="172" spans="12:23" x14ac:dyDescent="0.25">
      <c r="L172" s="29"/>
      <c r="M172" s="29"/>
      <c r="N172" s="2"/>
      <c r="O172" s="2"/>
      <c r="P172" s="27"/>
      <c r="Q172" s="2"/>
      <c r="V172" s="18" t="s">
        <v>781</v>
      </c>
      <c r="W172" s="18" t="s">
        <v>780</v>
      </c>
    </row>
    <row r="173" spans="12:23" x14ac:dyDescent="0.25">
      <c r="L173" s="29"/>
      <c r="M173" s="29"/>
      <c r="N173" s="2"/>
      <c r="O173" s="2"/>
      <c r="P173" s="27"/>
      <c r="Q173" s="2"/>
      <c r="V173" s="18" t="s">
        <v>783</v>
      </c>
      <c r="W173" s="18" t="s">
        <v>782</v>
      </c>
    </row>
    <row r="174" spans="12:23" x14ac:dyDescent="0.25">
      <c r="L174" s="29"/>
      <c r="M174" s="29"/>
      <c r="N174" s="2"/>
      <c r="O174" s="2"/>
      <c r="P174" s="27"/>
      <c r="Q174" s="2"/>
      <c r="V174" s="18" t="s">
        <v>636</v>
      </c>
      <c r="W174" s="18" t="s">
        <v>41</v>
      </c>
    </row>
    <row r="175" spans="12:23" x14ac:dyDescent="0.25">
      <c r="L175" s="29"/>
      <c r="M175" s="29"/>
      <c r="N175" s="2"/>
      <c r="O175" s="2"/>
      <c r="P175" s="27"/>
      <c r="Q175" s="2"/>
      <c r="V175" s="18" t="s">
        <v>785</v>
      </c>
      <c r="W175" s="18" t="s">
        <v>784</v>
      </c>
    </row>
    <row r="176" spans="12:23" x14ac:dyDescent="0.25">
      <c r="L176" s="29"/>
      <c r="M176" s="29"/>
      <c r="N176" s="2"/>
      <c r="O176" s="2"/>
      <c r="P176" s="27"/>
      <c r="Q176" s="2"/>
      <c r="V176" s="18" t="s">
        <v>787</v>
      </c>
      <c r="W176" s="18" t="s">
        <v>786</v>
      </c>
    </row>
    <row r="177" spans="12:23" x14ac:dyDescent="0.25">
      <c r="L177" s="1"/>
      <c r="M177" s="1"/>
      <c r="N177" s="2"/>
      <c r="O177" s="2"/>
      <c r="P177" s="27"/>
      <c r="Q177" s="2"/>
      <c r="V177" s="18" t="s">
        <v>789</v>
      </c>
      <c r="W177" s="18" t="s">
        <v>788</v>
      </c>
    </row>
    <row r="178" spans="12:23" x14ac:dyDescent="0.25">
      <c r="O178" s="2"/>
      <c r="P178" s="27"/>
      <c r="V178" s="18" t="s">
        <v>791</v>
      </c>
      <c r="W178" s="18" t="s">
        <v>790</v>
      </c>
    </row>
    <row r="179" spans="12:23" x14ac:dyDescent="0.25">
      <c r="V179" s="18" t="s">
        <v>793</v>
      </c>
      <c r="W179" s="18" t="s">
        <v>792</v>
      </c>
    </row>
    <row r="180" spans="12:23" x14ac:dyDescent="0.25">
      <c r="V180" s="18" t="s">
        <v>795</v>
      </c>
      <c r="W180" s="18" t="s">
        <v>794</v>
      </c>
    </row>
    <row r="181" spans="12:23" x14ac:dyDescent="0.25">
      <c r="V181" s="18" t="s">
        <v>797</v>
      </c>
      <c r="W181" s="18" t="s">
        <v>796</v>
      </c>
    </row>
    <row r="182" spans="12:23" x14ac:dyDescent="0.25">
      <c r="V182" s="18" t="s">
        <v>799</v>
      </c>
      <c r="W182" s="18" t="s">
        <v>798</v>
      </c>
    </row>
    <row r="183" spans="12:23" x14ac:dyDescent="0.25">
      <c r="V183" s="18" t="s">
        <v>801</v>
      </c>
      <c r="W183" s="18" t="s">
        <v>800</v>
      </c>
    </row>
    <row r="184" spans="12:23" x14ac:dyDescent="0.25">
      <c r="V184" s="18" t="s">
        <v>802</v>
      </c>
      <c r="W184" s="18" t="s">
        <v>81</v>
      </c>
    </row>
    <row r="185" spans="12:23" x14ac:dyDescent="0.25">
      <c r="V185" s="18" t="s">
        <v>804</v>
      </c>
      <c r="W185" s="18" t="s">
        <v>803</v>
      </c>
    </row>
    <row r="186" spans="12:23" x14ac:dyDescent="0.25">
      <c r="V186" s="18" t="s">
        <v>806</v>
      </c>
      <c r="W186" s="18" t="s">
        <v>805</v>
      </c>
    </row>
    <row r="187" spans="12:23" x14ac:dyDescent="0.25">
      <c r="V187" s="18" t="s">
        <v>808</v>
      </c>
      <c r="W187" s="18" t="s">
        <v>807</v>
      </c>
    </row>
    <row r="188" spans="12:23" x14ac:dyDescent="0.25">
      <c r="V188" s="18" t="s">
        <v>809</v>
      </c>
      <c r="W188" s="18" t="s">
        <v>82</v>
      </c>
    </row>
    <row r="189" spans="12:23" x14ac:dyDescent="0.25">
      <c r="V189" s="18" t="s">
        <v>810</v>
      </c>
      <c r="W189" s="18" t="s">
        <v>19</v>
      </c>
    </row>
    <row r="190" spans="12:23" x14ac:dyDescent="0.25">
      <c r="V190" s="18" t="s">
        <v>812</v>
      </c>
      <c r="W190" s="18" t="s">
        <v>811</v>
      </c>
    </row>
    <row r="191" spans="12:23" x14ac:dyDescent="0.25">
      <c r="V191" s="18" t="s">
        <v>814</v>
      </c>
      <c r="W191" s="18" t="s">
        <v>813</v>
      </c>
    </row>
    <row r="192" spans="12:23" x14ac:dyDescent="0.25">
      <c r="V192" s="18" t="s">
        <v>816</v>
      </c>
      <c r="W192" s="18" t="s">
        <v>815</v>
      </c>
    </row>
    <row r="193" spans="22:23" x14ac:dyDescent="0.25">
      <c r="V193" s="18" t="s">
        <v>817</v>
      </c>
      <c r="W193" s="18" t="s">
        <v>83</v>
      </c>
    </row>
    <row r="194" spans="22:23" x14ac:dyDescent="0.25">
      <c r="V194" s="18" t="s">
        <v>818</v>
      </c>
      <c r="W194" s="18" t="s">
        <v>30</v>
      </c>
    </row>
    <row r="195" spans="22:23" x14ac:dyDescent="0.25">
      <c r="V195" s="18" t="s">
        <v>820</v>
      </c>
      <c r="W195" s="18" t="s">
        <v>819</v>
      </c>
    </row>
    <row r="196" spans="22:23" x14ac:dyDescent="0.25">
      <c r="V196" s="18" t="s">
        <v>822</v>
      </c>
      <c r="W196" s="18" t="s">
        <v>821</v>
      </c>
    </row>
    <row r="197" spans="22:23" x14ac:dyDescent="0.25">
      <c r="V197" s="18" t="s">
        <v>824</v>
      </c>
      <c r="W197" s="18" t="s">
        <v>823</v>
      </c>
    </row>
    <row r="198" spans="22:23" x14ac:dyDescent="0.25">
      <c r="V198" s="18" t="s">
        <v>826</v>
      </c>
      <c r="W198" s="18" t="s">
        <v>825</v>
      </c>
    </row>
    <row r="199" spans="22:23" x14ac:dyDescent="0.25">
      <c r="V199" s="18" t="s">
        <v>828</v>
      </c>
      <c r="W199" s="18" t="s">
        <v>827</v>
      </c>
    </row>
    <row r="200" spans="22:23" x14ac:dyDescent="0.25">
      <c r="V200" s="18" t="s">
        <v>830</v>
      </c>
      <c r="W200" s="18" t="s">
        <v>829</v>
      </c>
    </row>
    <row r="201" spans="22:23" x14ac:dyDescent="0.25">
      <c r="V201" s="18" t="s">
        <v>832</v>
      </c>
      <c r="W201" s="18" t="s">
        <v>831</v>
      </c>
    </row>
    <row r="202" spans="22:23" x14ac:dyDescent="0.25">
      <c r="V202" s="18" t="s">
        <v>834</v>
      </c>
      <c r="W202" s="18" t="s">
        <v>833</v>
      </c>
    </row>
    <row r="203" spans="22:23" x14ac:dyDescent="0.25">
      <c r="V203" s="18" t="s">
        <v>836</v>
      </c>
      <c r="W203" s="18" t="s">
        <v>835</v>
      </c>
    </row>
    <row r="204" spans="22:23" x14ac:dyDescent="0.25">
      <c r="V204" s="18" t="s">
        <v>838</v>
      </c>
      <c r="W204" s="18" t="s">
        <v>837</v>
      </c>
    </row>
    <row r="205" spans="22:23" x14ac:dyDescent="0.25">
      <c r="V205" s="21" t="s">
        <v>957</v>
      </c>
      <c r="W205" s="22" t="s">
        <v>962</v>
      </c>
    </row>
    <row r="206" spans="22:23" x14ac:dyDescent="0.25">
      <c r="V206" s="2" t="s">
        <v>958</v>
      </c>
      <c r="W206" t="s">
        <v>959</v>
      </c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D234-BCE7-4485-883F-05BA0468391B}">
  <dimension ref="A1:V596"/>
  <sheetViews>
    <sheetView workbookViewId="0">
      <pane xSplit="1" topLeftCell="B1" activePane="topRight" state="frozen"/>
      <selection pane="topRight"/>
    </sheetView>
  </sheetViews>
  <sheetFormatPr baseColWidth="10" defaultRowHeight="15" x14ac:dyDescent="0.25"/>
  <cols>
    <col min="1" max="1" width="55.42578125" customWidth="1"/>
    <col min="2" max="2" width="23.7109375" style="2" bestFit="1" customWidth="1"/>
    <col min="3" max="3" width="19.28515625" style="2" bestFit="1" customWidth="1"/>
    <col min="4" max="4" width="15.42578125" style="2" bestFit="1" customWidth="1"/>
    <col min="5" max="5" width="20.140625" style="2" bestFit="1" customWidth="1"/>
    <col min="6" max="6" width="20.28515625" style="2" bestFit="1" customWidth="1"/>
    <col min="7" max="7" width="34.28515625" style="2" bestFit="1" customWidth="1"/>
    <col min="8" max="9" width="38.140625" style="2" bestFit="1" customWidth="1"/>
    <col min="10" max="10" width="45.7109375" style="2" bestFit="1" customWidth="1"/>
    <col min="11" max="11" width="13.7109375" style="2" bestFit="1" customWidth="1"/>
    <col min="12" max="12" width="33.28515625" bestFit="1" customWidth="1"/>
    <col min="13" max="13" width="2.28515625" style="2" customWidth="1"/>
    <col min="14" max="14" width="10.7109375" style="2" bestFit="1" customWidth="1"/>
    <col min="15" max="15" width="23.7109375" bestFit="1" customWidth="1"/>
    <col min="16" max="23" width="13.28515625" customWidth="1"/>
  </cols>
  <sheetData>
    <row r="1" spans="1:22" x14ac:dyDescent="0.25">
      <c r="A1" s="2" t="s">
        <v>118</v>
      </c>
      <c r="B1" s="3" t="s">
        <v>84</v>
      </c>
      <c r="C1" s="4" t="s">
        <v>86</v>
      </c>
      <c r="D1" s="4" t="s">
        <v>112</v>
      </c>
      <c r="E1" s="4" t="s">
        <v>165</v>
      </c>
      <c r="F1" s="4" t="s">
        <v>1429</v>
      </c>
      <c r="G1" s="4" t="s">
        <v>107</v>
      </c>
      <c r="H1" s="4" t="s">
        <v>1384</v>
      </c>
      <c r="I1" s="4" t="s">
        <v>94</v>
      </c>
      <c r="J1" s="4" t="s">
        <v>840</v>
      </c>
      <c r="K1" s="30" t="s">
        <v>1427</v>
      </c>
      <c r="L1" s="12" t="s">
        <v>0</v>
      </c>
      <c r="M1" s="4" t="s">
        <v>508</v>
      </c>
      <c r="N1" s="11" t="s">
        <v>96</v>
      </c>
      <c r="O1" s="11" t="s">
        <v>97</v>
      </c>
      <c r="P1" s="11" t="s">
        <v>98</v>
      </c>
      <c r="Q1" s="11" t="s">
        <v>99</v>
      </c>
      <c r="R1" s="11" t="s">
        <v>100</v>
      </c>
      <c r="S1" s="11" t="s">
        <v>101</v>
      </c>
      <c r="T1" s="11" t="s">
        <v>102</v>
      </c>
      <c r="U1" s="11" t="s">
        <v>103</v>
      </c>
      <c r="V1" s="11" t="s">
        <v>104</v>
      </c>
    </row>
    <row r="2" spans="1:22" x14ac:dyDescent="0.25">
      <c r="A2" s="25" t="s">
        <v>121</v>
      </c>
      <c r="B2" s="2" t="s">
        <v>8</v>
      </c>
      <c r="C2" s="2" t="s">
        <v>89</v>
      </c>
      <c r="D2" s="2" t="s">
        <v>106</v>
      </c>
      <c r="E2" s="2" t="s">
        <v>95</v>
      </c>
      <c r="G2" s="2" t="s">
        <v>349</v>
      </c>
      <c r="I2" t="s">
        <v>434</v>
      </c>
      <c r="J2"/>
      <c r="K2"/>
      <c r="L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ETVMN.VM11.5051_DI</v>
      </c>
      <c r="M2"/>
      <c r="N2" s="13" t="str">
        <f>VLOOKUP(Tabla3[[#This Row],[Tipo]],TIPO[#All],2,0)</f>
        <v>ET</v>
      </c>
      <c r="O2" s="13" t="str">
        <f>VLOOKUP(Tabla3[[#This Row],[Lugar]],LUGAR[#All],2,0)</f>
        <v>VMN</v>
      </c>
      <c r="P2" s="13" t="str">
        <f>Tabla3[[#This Row],[SIGLAS]]</f>
        <v>VM11</v>
      </c>
      <c r="Q2" s="13" t="str">
        <f>_xlfn.IFNA(VLOOKUP(Tabla3[[#This Row],[Nivel de tension]],NIVEL[#All],2,0),"")</f>
        <v/>
      </c>
      <c r="R2" s="13" t="str">
        <f>_xlfn.IFNA(VLOOKUP(Tabla3[[#This Row],[DISPOSITIVO]],DISPOSITIVO[],2,0),"")</f>
        <v>5051_</v>
      </c>
      <c r="S2" s="13" t="str">
        <f>_xlfn.IFNA(VLOOKUP(Tabla3[[#This Row],[PROTECCION SECUNDARIA]],PROTECCION_SECUNDARIA[],2,0),"")</f>
        <v/>
      </c>
      <c r="T2" s="13" t="str">
        <f>_xlfn.IFNA(VLOOKUP(Tabla3[[#This Row],[Que]],QUE[#All],2,0),"")</f>
        <v>DI</v>
      </c>
      <c r="U2" s="13" t="str">
        <f>_xlfn.IFNA(VLOOKUP(Tabla3[[#This Row],[Señal]],SEÑAL[#All],2,0),"")</f>
        <v/>
      </c>
      <c r="V2" s="13" t="str">
        <f>_xlfn.IFNA(VLOOKUP(Tabla3[[#This Row],[NUMERO]],SEÑAL[#All],2,0),"")</f>
        <v/>
      </c>
    </row>
    <row r="3" spans="1:22" x14ac:dyDescent="0.25">
      <c r="A3" s="25" t="s">
        <v>122</v>
      </c>
      <c r="B3" s="2" t="s">
        <v>8</v>
      </c>
      <c r="C3" s="2" t="s">
        <v>89</v>
      </c>
      <c r="D3" s="2" t="s">
        <v>106</v>
      </c>
      <c r="E3" s="2" t="s">
        <v>95</v>
      </c>
      <c r="G3" s="2" t="s">
        <v>352</v>
      </c>
      <c r="I3" t="s">
        <v>403</v>
      </c>
      <c r="J3" t="s">
        <v>611</v>
      </c>
      <c r="K3"/>
      <c r="L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ETVMN.VM11.51_AR_R</v>
      </c>
      <c r="M3"/>
      <c r="N3" s="13" t="str">
        <f>VLOOKUP(Tabla3[[#This Row],[Tipo]],TIPO[#All],2,0)</f>
        <v>ET</v>
      </c>
      <c r="O3" s="13" t="str">
        <f>VLOOKUP(Tabla3[[#This Row],[Lugar]],LUGAR[#All],2,0)</f>
        <v>VMN</v>
      </c>
      <c r="P3" s="13" t="str">
        <f>Tabla3[[#This Row],[SIGLAS]]</f>
        <v>VM11</v>
      </c>
      <c r="Q3" s="13" t="str">
        <f>_xlfn.IFNA(VLOOKUP(Tabla3[[#This Row],[Nivel de tension]],NIVEL[#All],2,0),"")</f>
        <v/>
      </c>
      <c r="R3" s="13" t="str">
        <f>_xlfn.IFNA(VLOOKUP(Tabla3[[#This Row],[DISPOSITIVO]],DISPOSITIVO[],2,0),"")</f>
        <v>51_</v>
      </c>
      <c r="S3" s="13" t="str">
        <f>_xlfn.IFNA(VLOOKUP(Tabla3[[#This Row],[PROTECCION SECUNDARIA]],PROTECCION_SECUNDARIA[],2,0),"")</f>
        <v/>
      </c>
      <c r="T3" s="13" t="str">
        <f>_xlfn.IFNA(VLOOKUP(Tabla3[[#This Row],[Que]],QUE[#All],2,0),"")</f>
        <v>AR</v>
      </c>
      <c r="U3" s="13" t="str">
        <f>_xlfn.IFNA(VLOOKUP(Tabla3[[#This Row],[Señal]],SEÑAL[#All],2,0),"")</f>
        <v>_R</v>
      </c>
      <c r="V3" s="13" t="str">
        <f>_xlfn.IFNA(VLOOKUP(Tabla3[[#This Row],[NUMERO]],SEÑAL[#All],2,0),"")</f>
        <v/>
      </c>
    </row>
    <row r="4" spans="1:22" x14ac:dyDescent="0.25">
      <c r="A4" s="25" t="s">
        <v>123</v>
      </c>
      <c r="B4" s="2" t="s">
        <v>8</v>
      </c>
      <c r="C4" s="2" t="s">
        <v>89</v>
      </c>
      <c r="D4" s="2" t="s">
        <v>106</v>
      </c>
      <c r="E4" s="2" t="s">
        <v>95</v>
      </c>
      <c r="G4" s="2" t="s">
        <v>352</v>
      </c>
      <c r="I4" t="s">
        <v>403</v>
      </c>
      <c r="J4" t="s">
        <v>634</v>
      </c>
      <c r="K4"/>
      <c r="L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ETVMN.VM11.51_AR_S</v>
      </c>
      <c r="M4"/>
      <c r="N4" s="13" t="str">
        <f>VLOOKUP(Tabla3[[#This Row],[Tipo]],TIPO[#All],2,0)</f>
        <v>ET</v>
      </c>
      <c r="O4" s="13" t="str">
        <f>VLOOKUP(Tabla3[[#This Row],[Lugar]],LUGAR[#All],2,0)</f>
        <v>VMN</v>
      </c>
      <c r="P4" s="13" t="str">
        <f>Tabla3[[#This Row],[SIGLAS]]</f>
        <v>VM11</v>
      </c>
      <c r="Q4" s="13" t="str">
        <f>_xlfn.IFNA(VLOOKUP(Tabla3[[#This Row],[Nivel de tension]],NIVEL[#All],2,0),"")</f>
        <v/>
      </c>
      <c r="R4" s="13" t="str">
        <f>_xlfn.IFNA(VLOOKUP(Tabla3[[#This Row],[DISPOSITIVO]],DISPOSITIVO[],2,0),"")</f>
        <v>51_</v>
      </c>
      <c r="S4" s="13" t="str">
        <f>_xlfn.IFNA(VLOOKUP(Tabla3[[#This Row],[PROTECCION SECUNDARIA]],PROTECCION_SECUNDARIA[],2,0),"")</f>
        <v/>
      </c>
      <c r="T4" s="13" t="str">
        <f>_xlfn.IFNA(VLOOKUP(Tabla3[[#This Row],[Que]],QUE[#All],2,0),"")</f>
        <v>AR</v>
      </c>
      <c r="U4" s="13" t="str">
        <f>_xlfn.IFNA(VLOOKUP(Tabla3[[#This Row],[Señal]],SEÑAL[#All],2,0),"")</f>
        <v>_S</v>
      </c>
      <c r="V4" s="13" t="str">
        <f>_xlfn.IFNA(VLOOKUP(Tabla3[[#This Row],[NUMERO]],SEÑAL[#All],2,0),"")</f>
        <v/>
      </c>
    </row>
    <row r="5" spans="1:22" x14ac:dyDescent="0.25">
      <c r="A5" s="25" t="s">
        <v>124</v>
      </c>
      <c r="B5" s="2" t="s">
        <v>8</v>
      </c>
      <c r="C5" s="2" t="s">
        <v>89</v>
      </c>
      <c r="D5" s="2" t="s">
        <v>106</v>
      </c>
      <c r="E5" s="2" t="s">
        <v>95</v>
      </c>
      <c r="G5" s="2" t="s">
        <v>352</v>
      </c>
      <c r="I5" t="s">
        <v>403</v>
      </c>
      <c r="J5" t="s">
        <v>647</v>
      </c>
      <c r="K5"/>
      <c r="L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ETVMN.VM11.51_AR_T</v>
      </c>
      <c r="M5"/>
      <c r="N5" s="13" t="str">
        <f>VLOOKUP(Tabla3[[#This Row],[Tipo]],TIPO[#All],2,0)</f>
        <v>ET</v>
      </c>
      <c r="O5" s="13" t="str">
        <f>VLOOKUP(Tabla3[[#This Row],[Lugar]],LUGAR[#All],2,0)</f>
        <v>VMN</v>
      </c>
      <c r="P5" s="13" t="str">
        <f>Tabla3[[#This Row],[SIGLAS]]</f>
        <v>VM11</v>
      </c>
      <c r="Q5" s="13" t="str">
        <f>_xlfn.IFNA(VLOOKUP(Tabla3[[#This Row],[Nivel de tension]],NIVEL[#All],2,0),"")</f>
        <v/>
      </c>
      <c r="R5" s="13" t="str">
        <f>_xlfn.IFNA(VLOOKUP(Tabla3[[#This Row],[DISPOSITIVO]],DISPOSITIVO[],2,0),"")</f>
        <v>51_</v>
      </c>
      <c r="S5" s="13" t="str">
        <f>_xlfn.IFNA(VLOOKUP(Tabla3[[#This Row],[PROTECCION SECUNDARIA]],PROTECCION_SECUNDARIA[],2,0),"")</f>
        <v/>
      </c>
      <c r="T5" s="13" t="str">
        <f>_xlfn.IFNA(VLOOKUP(Tabla3[[#This Row],[Que]],QUE[#All],2,0),"")</f>
        <v>AR</v>
      </c>
      <c r="U5" s="13" t="str">
        <f>_xlfn.IFNA(VLOOKUP(Tabla3[[#This Row],[Señal]],SEÑAL[#All],2,0),"")</f>
        <v>_T</v>
      </c>
      <c r="V5" s="13" t="str">
        <f>_xlfn.IFNA(VLOOKUP(Tabla3[[#This Row],[NUMERO]],SEÑAL[#All],2,0),"")</f>
        <v/>
      </c>
    </row>
    <row r="6" spans="1:22" x14ac:dyDescent="0.25">
      <c r="A6" s="25" t="s">
        <v>125</v>
      </c>
      <c r="B6" s="2" t="s">
        <v>8</v>
      </c>
      <c r="C6" s="2" t="s">
        <v>89</v>
      </c>
      <c r="D6" s="2" t="s">
        <v>106</v>
      </c>
      <c r="E6" s="2" t="s">
        <v>95</v>
      </c>
      <c r="G6" s="2" t="s">
        <v>353</v>
      </c>
      <c r="I6" t="s">
        <v>403</v>
      </c>
      <c r="J6"/>
      <c r="K6"/>
      <c r="L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ETVMN.VM11.51N_AR</v>
      </c>
      <c r="M6"/>
      <c r="N6" s="13" t="str">
        <f>VLOOKUP(Tabla3[[#This Row],[Tipo]],TIPO[#All],2,0)</f>
        <v>ET</v>
      </c>
      <c r="O6" s="13" t="str">
        <f>VLOOKUP(Tabla3[[#This Row],[Lugar]],LUGAR[#All],2,0)</f>
        <v>VMN</v>
      </c>
      <c r="P6" s="13" t="str">
        <f>Tabla3[[#This Row],[SIGLAS]]</f>
        <v>VM11</v>
      </c>
      <c r="Q6" s="13" t="str">
        <f>_xlfn.IFNA(VLOOKUP(Tabla3[[#This Row],[Nivel de tension]],NIVEL[#All],2,0),"")</f>
        <v/>
      </c>
      <c r="R6" s="13" t="str">
        <f>_xlfn.IFNA(VLOOKUP(Tabla3[[#This Row],[DISPOSITIVO]],DISPOSITIVO[],2,0),"")</f>
        <v>51N_</v>
      </c>
      <c r="S6" s="13" t="str">
        <f>_xlfn.IFNA(VLOOKUP(Tabla3[[#This Row],[PROTECCION SECUNDARIA]],PROTECCION_SECUNDARIA[],2,0),"")</f>
        <v/>
      </c>
      <c r="T6" s="13" t="str">
        <f>_xlfn.IFNA(VLOOKUP(Tabla3[[#This Row],[Que]],QUE[#All],2,0),"")</f>
        <v>AR</v>
      </c>
      <c r="U6" s="13" t="str">
        <f>_xlfn.IFNA(VLOOKUP(Tabla3[[#This Row],[Señal]],SEÑAL[#All],2,0),"")</f>
        <v/>
      </c>
      <c r="V6" s="13" t="str">
        <f>_xlfn.IFNA(VLOOKUP(Tabla3[[#This Row],[NUMERO]],SEÑAL[#All],2,0),"")</f>
        <v/>
      </c>
    </row>
    <row r="7" spans="1:22" x14ac:dyDescent="0.25">
      <c r="A7" s="25" t="s">
        <v>126</v>
      </c>
      <c r="B7" s="2" t="s">
        <v>8</v>
      </c>
      <c r="C7" s="2" t="s">
        <v>89</v>
      </c>
      <c r="D7" s="2" t="s">
        <v>106</v>
      </c>
      <c r="E7" s="2" t="s">
        <v>95</v>
      </c>
      <c r="G7" s="2" t="s">
        <v>348</v>
      </c>
      <c r="I7" t="s">
        <v>434</v>
      </c>
      <c r="J7"/>
      <c r="K7"/>
      <c r="L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ETVMN.VM11.50_DI</v>
      </c>
      <c r="M7"/>
      <c r="N7" s="13" t="str">
        <f>VLOOKUP(Tabla3[[#This Row],[Tipo]],TIPO[#All],2,0)</f>
        <v>ET</v>
      </c>
      <c r="O7" s="13" t="str">
        <f>VLOOKUP(Tabla3[[#This Row],[Lugar]],LUGAR[#All],2,0)</f>
        <v>VMN</v>
      </c>
      <c r="P7" s="13" t="str">
        <f>Tabla3[[#This Row],[SIGLAS]]</f>
        <v>VM11</v>
      </c>
      <c r="Q7" s="13" t="str">
        <f>_xlfn.IFNA(VLOOKUP(Tabla3[[#This Row],[Nivel de tension]],NIVEL[#All],2,0),"")</f>
        <v/>
      </c>
      <c r="R7" s="13" t="str">
        <f>_xlfn.IFNA(VLOOKUP(Tabla3[[#This Row],[DISPOSITIVO]],DISPOSITIVO[],2,0),"")</f>
        <v>50_</v>
      </c>
      <c r="S7" s="13" t="str">
        <f>_xlfn.IFNA(VLOOKUP(Tabla3[[#This Row],[PROTECCION SECUNDARIA]],PROTECCION_SECUNDARIA[],2,0),"")</f>
        <v/>
      </c>
      <c r="T7" s="13" t="str">
        <f>_xlfn.IFNA(VLOOKUP(Tabla3[[#This Row],[Que]],QUE[#All],2,0),"")</f>
        <v>DI</v>
      </c>
      <c r="U7" s="13" t="str">
        <f>_xlfn.IFNA(VLOOKUP(Tabla3[[#This Row],[Señal]],SEÑAL[#All],2,0),"")</f>
        <v/>
      </c>
      <c r="V7" s="13" t="str">
        <f>_xlfn.IFNA(VLOOKUP(Tabla3[[#This Row],[NUMERO]],SEÑAL[#All],2,0),"")</f>
        <v/>
      </c>
    </row>
    <row r="8" spans="1:22" x14ac:dyDescent="0.25">
      <c r="A8" s="25" t="s">
        <v>127</v>
      </c>
      <c r="B8" s="2" t="s">
        <v>8</v>
      </c>
      <c r="C8" s="2" t="s">
        <v>89</v>
      </c>
      <c r="D8" s="2" t="s">
        <v>106</v>
      </c>
      <c r="E8" s="2" t="s">
        <v>95</v>
      </c>
      <c r="G8" s="2" t="s">
        <v>352</v>
      </c>
      <c r="I8" t="s">
        <v>403</v>
      </c>
      <c r="J8"/>
      <c r="K8"/>
      <c r="L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ETVMN.VM11.51_AR</v>
      </c>
      <c r="M8"/>
      <c r="N8" s="13" t="str">
        <f>VLOOKUP(Tabla3[[#This Row],[Tipo]],TIPO[#All],2,0)</f>
        <v>ET</v>
      </c>
      <c r="O8" s="13" t="str">
        <f>VLOOKUP(Tabla3[[#This Row],[Lugar]],LUGAR[#All],2,0)</f>
        <v>VMN</v>
      </c>
      <c r="P8" s="13" t="str">
        <f>Tabla3[[#This Row],[SIGLAS]]</f>
        <v>VM11</v>
      </c>
      <c r="Q8" s="13" t="str">
        <f>_xlfn.IFNA(VLOOKUP(Tabla3[[#This Row],[Nivel de tension]],NIVEL[#All],2,0),"")</f>
        <v/>
      </c>
      <c r="R8" s="13" t="str">
        <f>_xlfn.IFNA(VLOOKUP(Tabla3[[#This Row],[DISPOSITIVO]],DISPOSITIVO[],2,0),"")</f>
        <v>51_</v>
      </c>
      <c r="S8" s="13" t="str">
        <f>_xlfn.IFNA(VLOOKUP(Tabla3[[#This Row],[PROTECCION SECUNDARIA]],PROTECCION_SECUNDARIA[],2,0),"")</f>
        <v/>
      </c>
      <c r="T8" s="13" t="str">
        <f>_xlfn.IFNA(VLOOKUP(Tabla3[[#This Row],[Que]],QUE[#All],2,0),"")</f>
        <v>AR</v>
      </c>
      <c r="U8" s="13" t="str">
        <f>_xlfn.IFNA(VLOOKUP(Tabla3[[#This Row],[Señal]],SEÑAL[#All],2,0),"")</f>
        <v/>
      </c>
      <c r="V8" s="13" t="str">
        <f>_xlfn.IFNA(VLOOKUP(Tabla3[[#This Row],[NUMERO]],SEÑAL[#All],2,0),"")</f>
        <v/>
      </c>
    </row>
    <row r="9" spans="1:22" x14ac:dyDescent="0.25">
      <c r="A9" s="25" t="s">
        <v>128</v>
      </c>
      <c r="B9" s="2" t="s">
        <v>8</v>
      </c>
      <c r="C9" s="2" t="s">
        <v>89</v>
      </c>
      <c r="D9" s="2" t="s">
        <v>106</v>
      </c>
      <c r="E9" s="2" t="s">
        <v>95</v>
      </c>
      <c r="G9" s="2" t="s">
        <v>352</v>
      </c>
      <c r="I9" t="s">
        <v>434</v>
      </c>
      <c r="J9"/>
      <c r="K9"/>
      <c r="L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ETVMN.VM11.51_DI</v>
      </c>
      <c r="M9"/>
      <c r="N9" s="13" t="str">
        <f>VLOOKUP(Tabla3[[#This Row],[Tipo]],TIPO[#All],2,0)</f>
        <v>ET</v>
      </c>
      <c r="O9" s="13" t="str">
        <f>VLOOKUP(Tabla3[[#This Row],[Lugar]],LUGAR[#All],2,0)</f>
        <v>VMN</v>
      </c>
      <c r="P9" s="13" t="str">
        <f>Tabla3[[#This Row],[SIGLAS]]</f>
        <v>VM11</v>
      </c>
      <c r="Q9" s="13" t="str">
        <f>_xlfn.IFNA(VLOOKUP(Tabla3[[#This Row],[Nivel de tension]],NIVEL[#All],2,0),"")</f>
        <v/>
      </c>
      <c r="R9" s="13" t="str">
        <f>_xlfn.IFNA(VLOOKUP(Tabla3[[#This Row],[DISPOSITIVO]],DISPOSITIVO[],2,0),"")</f>
        <v>51_</v>
      </c>
      <c r="S9" s="13" t="str">
        <f>_xlfn.IFNA(VLOOKUP(Tabla3[[#This Row],[PROTECCION SECUNDARIA]],PROTECCION_SECUNDARIA[],2,0),"")</f>
        <v/>
      </c>
      <c r="T9" s="13" t="str">
        <f>_xlfn.IFNA(VLOOKUP(Tabla3[[#This Row],[Que]],QUE[#All],2,0),"")</f>
        <v>DI</v>
      </c>
      <c r="U9" s="13" t="str">
        <f>_xlfn.IFNA(VLOOKUP(Tabla3[[#This Row],[Señal]],SEÑAL[#All],2,0),"")</f>
        <v/>
      </c>
      <c r="V9" s="13" t="str">
        <f>_xlfn.IFNA(VLOOKUP(Tabla3[[#This Row],[NUMERO]],SEÑAL[#All],2,0),"")</f>
        <v/>
      </c>
    </row>
    <row r="10" spans="1:22" x14ac:dyDescent="0.25">
      <c r="A10" s="25" t="s">
        <v>129</v>
      </c>
      <c r="B10" s="2" t="s">
        <v>8</v>
      </c>
      <c r="C10" s="2" t="s">
        <v>89</v>
      </c>
      <c r="D10" s="2" t="s">
        <v>106</v>
      </c>
      <c r="E10" s="2" t="s">
        <v>95</v>
      </c>
      <c r="G10" s="2" t="s">
        <v>351</v>
      </c>
      <c r="I10" t="s">
        <v>434</v>
      </c>
      <c r="J10"/>
      <c r="K10"/>
      <c r="L1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ETVMN.VM11.50N_DI</v>
      </c>
      <c r="M10"/>
      <c r="N10" s="13" t="str">
        <f>VLOOKUP(Tabla3[[#This Row],[Tipo]],TIPO[#All],2,0)</f>
        <v>ET</v>
      </c>
      <c r="O10" s="13" t="str">
        <f>VLOOKUP(Tabla3[[#This Row],[Lugar]],LUGAR[#All],2,0)</f>
        <v>VMN</v>
      </c>
      <c r="P10" s="13" t="str">
        <f>Tabla3[[#This Row],[SIGLAS]]</f>
        <v>VM11</v>
      </c>
      <c r="Q10" s="13" t="str">
        <f>_xlfn.IFNA(VLOOKUP(Tabla3[[#This Row],[Nivel de tension]],NIVEL[#All],2,0),"")</f>
        <v/>
      </c>
      <c r="R10" s="13" t="str">
        <f>_xlfn.IFNA(VLOOKUP(Tabla3[[#This Row],[DISPOSITIVO]],DISPOSITIVO[],2,0),"")</f>
        <v>50N_</v>
      </c>
      <c r="S10" s="13" t="str">
        <f>_xlfn.IFNA(VLOOKUP(Tabla3[[#This Row],[PROTECCION SECUNDARIA]],PROTECCION_SECUNDARIA[],2,0),"")</f>
        <v/>
      </c>
      <c r="T10" s="13" t="str">
        <f>_xlfn.IFNA(VLOOKUP(Tabla3[[#This Row],[Que]],QUE[#All],2,0),"")</f>
        <v>DI</v>
      </c>
      <c r="U10" s="13" t="str">
        <f>_xlfn.IFNA(VLOOKUP(Tabla3[[#This Row],[Señal]],SEÑAL[#All],2,0),"")</f>
        <v/>
      </c>
      <c r="V10" s="13" t="str">
        <f>_xlfn.IFNA(VLOOKUP(Tabla3[[#This Row],[NUMERO]],SEÑAL[#All],2,0),"")</f>
        <v/>
      </c>
    </row>
    <row r="11" spans="1:22" x14ac:dyDescent="0.25">
      <c r="A11" s="25" t="s">
        <v>130</v>
      </c>
      <c r="B11" s="2" t="s">
        <v>8</v>
      </c>
      <c r="C11" s="2" t="s">
        <v>89</v>
      </c>
      <c r="D11" s="2" t="s">
        <v>106</v>
      </c>
      <c r="E11" s="2" t="s">
        <v>95</v>
      </c>
      <c r="G11" s="2" t="s">
        <v>353</v>
      </c>
      <c r="I11" t="s">
        <v>403</v>
      </c>
      <c r="J11"/>
      <c r="K11"/>
      <c r="L1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ETVMN.VM11.51N_AR</v>
      </c>
      <c r="M11"/>
      <c r="N11" s="13" t="str">
        <f>VLOOKUP(Tabla3[[#This Row],[Tipo]],TIPO[#All],2,0)</f>
        <v>ET</v>
      </c>
      <c r="O11" s="13" t="str">
        <f>VLOOKUP(Tabla3[[#This Row],[Lugar]],LUGAR[#All],2,0)</f>
        <v>VMN</v>
      </c>
      <c r="P11" s="13" t="str">
        <f>Tabla3[[#This Row],[SIGLAS]]</f>
        <v>VM11</v>
      </c>
      <c r="Q11" s="13" t="str">
        <f>_xlfn.IFNA(VLOOKUP(Tabla3[[#This Row],[Nivel de tension]],NIVEL[#All],2,0),"")</f>
        <v/>
      </c>
      <c r="R11" s="13" t="str">
        <f>_xlfn.IFNA(VLOOKUP(Tabla3[[#This Row],[DISPOSITIVO]],DISPOSITIVO[],2,0),"")</f>
        <v>51N_</v>
      </c>
      <c r="S11" s="13" t="str">
        <f>_xlfn.IFNA(VLOOKUP(Tabla3[[#This Row],[PROTECCION SECUNDARIA]],PROTECCION_SECUNDARIA[],2,0),"")</f>
        <v/>
      </c>
      <c r="T11" s="13" t="str">
        <f>_xlfn.IFNA(VLOOKUP(Tabla3[[#This Row],[Que]],QUE[#All],2,0),"")</f>
        <v>AR</v>
      </c>
      <c r="U11" s="13" t="str">
        <f>_xlfn.IFNA(VLOOKUP(Tabla3[[#This Row],[Señal]],SEÑAL[#All],2,0),"")</f>
        <v/>
      </c>
      <c r="V11" s="13" t="str">
        <f>_xlfn.IFNA(VLOOKUP(Tabla3[[#This Row],[NUMERO]],SEÑAL[#All],2,0),"")</f>
        <v/>
      </c>
    </row>
    <row r="12" spans="1:22" x14ac:dyDescent="0.25">
      <c r="A12" s="25" t="s">
        <v>131</v>
      </c>
      <c r="B12" s="2" t="s">
        <v>8</v>
      </c>
      <c r="C12" s="2" t="s">
        <v>89</v>
      </c>
      <c r="D12" s="2" t="s">
        <v>106</v>
      </c>
      <c r="E12" s="2" t="s">
        <v>95</v>
      </c>
      <c r="G12" s="2" t="s">
        <v>353</v>
      </c>
      <c r="I12" t="s">
        <v>434</v>
      </c>
      <c r="J12"/>
      <c r="K12"/>
      <c r="L1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ETVMN.VM11.51N_DI</v>
      </c>
      <c r="M12"/>
      <c r="N12" s="13" t="str">
        <f>VLOOKUP(Tabla3[[#This Row],[Tipo]],TIPO[#All],2,0)</f>
        <v>ET</v>
      </c>
      <c r="O12" s="13" t="str">
        <f>VLOOKUP(Tabla3[[#This Row],[Lugar]],LUGAR[#All],2,0)</f>
        <v>VMN</v>
      </c>
      <c r="P12" s="13" t="str">
        <f>Tabla3[[#This Row],[SIGLAS]]</f>
        <v>VM11</v>
      </c>
      <c r="Q12" s="13" t="str">
        <f>_xlfn.IFNA(VLOOKUP(Tabla3[[#This Row],[Nivel de tension]],NIVEL[#All],2,0),"")</f>
        <v/>
      </c>
      <c r="R12" s="13" t="str">
        <f>_xlfn.IFNA(VLOOKUP(Tabla3[[#This Row],[DISPOSITIVO]],DISPOSITIVO[],2,0),"")</f>
        <v>51N_</v>
      </c>
      <c r="S12" s="13" t="str">
        <f>_xlfn.IFNA(VLOOKUP(Tabla3[[#This Row],[PROTECCION SECUNDARIA]],PROTECCION_SECUNDARIA[],2,0),"")</f>
        <v/>
      </c>
      <c r="T12" s="13" t="str">
        <f>_xlfn.IFNA(VLOOKUP(Tabla3[[#This Row],[Que]],QUE[#All],2,0),"")</f>
        <v>DI</v>
      </c>
      <c r="U12" s="13" t="str">
        <f>_xlfn.IFNA(VLOOKUP(Tabla3[[#This Row],[Señal]],SEÑAL[#All],2,0),"")</f>
        <v/>
      </c>
      <c r="V12" s="13" t="str">
        <f>_xlfn.IFNA(VLOOKUP(Tabla3[[#This Row],[NUMERO]],SEÑAL[#All],2,0),"")</f>
        <v/>
      </c>
    </row>
    <row r="13" spans="1:22" x14ac:dyDescent="0.25">
      <c r="A13" s="25" t="s">
        <v>132</v>
      </c>
      <c r="B13" s="2" t="s">
        <v>8</v>
      </c>
      <c r="C13" s="2" t="s">
        <v>89</v>
      </c>
      <c r="D13" s="2" t="s">
        <v>106</v>
      </c>
      <c r="E13" s="2" t="s">
        <v>95</v>
      </c>
      <c r="G13" s="2" t="s">
        <v>852</v>
      </c>
      <c r="I13" t="s">
        <v>2</v>
      </c>
      <c r="J13" t="s">
        <v>438</v>
      </c>
      <c r="K13"/>
      <c r="L1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ETVMN.VM11.51-79_EST</v>
      </c>
      <c r="M13"/>
      <c r="N13" s="13" t="str">
        <f>VLOOKUP(Tabla3[[#This Row],[Tipo]],TIPO[#All],2,0)</f>
        <v>ET</v>
      </c>
      <c r="O13" s="13" t="str">
        <f>VLOOKUP(Tabla3[[#This Row],[Lugar]],LUGAR[#All],2,0)</f>
        <v>VMN</v>
      </c>
      <c r="P13" s="13" t="str">
        <f>Tabla3[[#This Row],[SIGLAS]]</f>
        <v>VM11</v>
      </c>
      <c r="Q13" s="13" t="str">
        <f>_xlfn.IFNA(VLOOKUP(Tabla3[[#This Row],[Nivel de tension]],NIVEL[#All],2,0),"")</f>
        <v/>
      </c>
      <c r="R13" s="13" t="str">
        <f>_xlfn.IFNA(VLOOKUP(Tabla3[[#This Row],[DISPOSITIVO]],DISPOSITIVO[],2,0),"")</f>
        <v>51-</v>
      </c>
      <c r="S13" s="13" t="str">
        <f>_xlfn.IFNA(VLOOKUP(Tabla3[[#This Row],[PROTECCION SECUNDARIA]],PROTECCION_SECUNDARIA[],2,0),"")</f>
        <v/>
      </c>
      <c r="T13" s="13" t="str">
        <f>_xlfn.IFNA(VLOOKUP(Tabla3[[#This Row],[Que]],QUE[#All],2,0),"")</f>
        <v>79</v>
      </c>
      <c r="U13" s="13" t="str">
        <f>_xlfn.IFNA(VLOOKUP(Tabla3[[#This Row],[Señal]],SEÑAL[#All],2,0),"")</f>
        <v>_EST</v>
      </c>
      <c r="V13" s="13" t="str">
        <f>_xlfn.IFNA(VLOOKUP(Tabla3[[#This Row],[NUMERO]],SEÑAL[#All],2,0),"")</f>
        <v/>
      </c>
    </row>
    <row r="14" spans="1:22" x14ac:dyDescent="0.25">
      <c r="A14" s="25" t="s">
        <v>133</v>
      </c>
      <c r="B14" s="2" t="s">
        <v>8</v>
      </c>
      <c r="C14" s="2" t="s">
        <v>89</v>
      </c>
      <c r="D14" s="2" t="s">
        <v>106</v>
      </c>
      <c r="E14" s="2" t="s">
        <v>95</v>
      </c>
      <c r="G14" s="2" t="s">
        <v>852</v>
      </c>
      <c r="I14" t="s">
        <v>2</v>
      </c>
      <c r="J14" t="s">
        <v>587</v>
      </c>
      <c r="K14"/>
      <c r="L1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ETVMN.VM11.51-79_INI</v>
      </c>
      <c r="M14"/>
      <c r="N14" s="13" t="str">
        <f>VLOOKUP(Tabla3[[#This Row],[Tipo]],TIPO[#All],2,0)</f>
        <v>ET</v>
      </c>
      <c r="O14" s="13" t="str">
        <f>VLOOKUP(Tabla3[[#This Row],[Lugar]],LUGAR[#All],2,0)</f>
        <v>VMN</v>
      </c>
      <c r="P14" s="13" t="str">
        <f>Tabla3[[#This Row],[SIGLAS]]</f>
        <v>VM11</v>
      </c>
      <c r="Q14" s="13" t="str">
        <f>_xlfn.IFNA(VLOOKUP(Tabla3[[#This Row],[Nivel de tension]],NIVEL[#All],2,0),"")</f>
        <v/>
      </c>
      <c r="R14" s="13" t="str">
        <f>_xlfn.IFNA(VLOOKUP(Tabla3[[#This Row],[DISPOSITIVO]],DISPOSITIVO[],2,0),"")</f>
        <v>51-</v>
      </c>
      <c r="S14" s="13" t="str">
        <f>_xlfn.IFNA(VLOOKUP(Tabla3[[#This Row],[PROTECCION SECUNDARIA]],PROTECCION_SECUNDARIA[],2,0),"")</f>
        <v/>
      </c>
      <c r="T14" s="13" t="str">
        <f>_xlfn.IFNA(VLOOKUP(Tabla3[[#This Row],[Que]],QUE[#All],2,0),"")</f>
        <v>79</v>
      </c>
      <c r="U14" s="13" t="str">
        <f>_xlfn.IFNA(VLOOKUP(Tabla3[[#This Row],[Señal]],SEÑAL[#All],2,0),"")</f>
        <v>_INI</v>
      </c>
      <c r="V14" s="13" t="str">
        <f>_xlfn.IFNA(VLOOKUP(Tabla3[[#This Row],[NUMERO]],SEÑAL[#All],2,0),"")</f>
        <v/>
      </c>
    </row>
    <row r="15" spans="1:22" x14ac:dyDescent="0.25">
      <c r="A15" s="25" t="s">
        <v>134</v>
      </c>
      <c r="B15" s="2" t="s">
        <v>8</v>
      </c>
      <c r="C15" s="2" t="s">
        <v>89</v>
      </c>
      <c r="D15" s="2" t="s">
        <v>106</v>
      </c>
      <c r="E15" s="2" t="s">
        <v>95</v>
      </c>
      <c r="G15" s="2" t="s">
        <v>852</v>
      </c>
      <c r="I15" t="s">
        <v>2</v>
      </c>
      <c r="J15" t="s">
        <v>568</v>
      </c>
      <c r="K15"/>
      <c r="L1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ETVMN.VM11.51-79_EX</v>
      </c>
      <c r="M15"/>
      <c r="N15" s="13" t="str">
        <f>VLOOKUP(Tabla3[[#This Row],[Tipo]],TIPO[#All],2,0)</f>
        <v>ET</v>
      </c>
      <c r="O15" s="13" t="str">
        <f>VLOOKUP(Tabla3[[#This Row],[Lugar]],LUGAR[#All],2,0)</f>
        <v>VMN</v>
      </c>
      <c r="P15" s="13" t="str">
        <f>Tabla3[[#This Row],[SIGLAS]]</f>
        <v>VM11</v>
      </c>
      <c r="Q15" s="13" t="str">
        <f>_xlfn.IFNA(VLOOKUP(Tabla3[[#This Row],[Nivel de tension]],NIVEL[#All],2,0),"")</f>
        <v/>
      </c>
      <c r="R15" s="13" t="str">
        <f>_xlfn.IFNA(VLOOKUP(Tabla3[[#This Row],[DISPOSITIVO]],DISPOSITIVO[],2,0),"")</f>
        <v>51-</v>
      </c>
      <c r="S15" s="13" t="str">
        <f>_xlfn.IFNA(VLOOKUP(Tabla3[[#This Row],[PROTECCION SECUNDARIA]],PROTECCION_SECUNDARIA[],2,0),"")</f>
        <v/>
      </c>
      <c r="T15" s="13" t="str">
        <f>_xlfn.IFNA(VLOOKUP(Tabla3[[#This Row],[Que]],QUE[#All],2,0),"")</f>
        <v>79</v>
      </c>
      <c r="U15" s="13" t="str">
        <f>_xlfn.IFNA(VLOOKUP(Tabla3[[#This Row],[Señal]],SEÑAL[#All],2,0),"")</f>
        <v>_EX</v>
      </c>
      <c r="V15" s="13" t="str">
        <f>_xlfn.IFNA(VLOOKUP(Tabla3[[#This Row],[NUMERO]],SEÑAL[#All],2,0),"")</f>
        <v/>
      </c>
    </row>
    <row r="16" spans="1:22" x14ac:dyDescent="0.25">
      <c r="A16" s="25" t="s">
        <v>135</v>
      </c>
      <c r="B16" s="2" t="s">
        <v>8</v>
      </c>
      <c r="C16" s="2" t="s">
        <v>89</v>
      </c>
      <c r="D16" s="2" t="s">
        <v>106</v>
      </c>
      <c r="E16" s="2" t="s">
        <v>95</v>
      </c>
      <c r="G16" s="2" t="s">
        <v>852</v>
      </c>
      <c r="I16" t="s">
        <v>2</v>
      </c>
      <c r="J16" t="s">
        <v>561</v>
      </c>
      <c r="K16"/>
      <c r="L1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ETVMN.VM11.51-79_DIDEF</v>
      </c>
      <c r="M16"/>
      <c r="N16" s="13" t="str">
        <f>VLOOKUP(Tabla3[[#This Row],[Tipo]],TIPO[#All],2,0)</f>
        <v>ET</v>
      </c>
      <c r="O16" s="13" t="str">
        <f>VLOOKUP(Tabla3[[#This Row],[Lugar]],LUGAR[#All],2,0)</f>
        <v>VMN</v>
      </c>
      <c r="P16" s="13" t="str">
        <f>Tabla3[[#This Row],[SIGLAS]]</f>
        <v>VM11</v>
      </c>
      <c r="Q16" s="13" t="str">
        <f>_xlfn.IFNA(VLOOKUP(Tabla3[[#This Row],[Nivel de tension]],NIVEL[#All],2,0),"")</f>
        <v/>
      </c>
      <c r="R16" s="13" t="str">
        <f>_xlfn.IFNA(VLOOKUP(Tabla3[[#This Row],[DISPOSITIVO]],DISPOSITIVO[],2,0),"")</f>
        <v>51-</v>
      </c>
      <c r="S16" s="13" t="str">
        <f>_xlfn.IFNA(VLOOKUP(Tabla3[[#This Row],[PROTECCION SECUNDARIA]],PROTECCION_SECUNDARIA[],2,0),"")</f>
        <v/>
      </c>
      <c r="T16" s="13" t="str">
        <f>_xlfn.IFNA(VLOOKUP(Tabla3[[#This Row],[Que]],QUE[#All],2,0),"")</f>
        <v>79</v>
      </c>
      <c r="U16" s="13" t="str">
        <f>_xlfn.IFNA(VLOOKUP(Tabla3[[#This Row],[Señal]],SEÑAL[#All],2,0),"")</f>
        <v>_DIDEF</v>
      </c>
      <c r="V16" s="13" t="str">
        <f>_xlfn.IFNA(VLOOKUP(Tabla3[[#This Row],[NUMERO]],SEÑAL[#All],2,0),"")</f>
        <v/>
      </c>
    </row>
    <row r="17" spans="1:22" x14ac:dyDescent="0.25">
      <c r="A17" s="25" t="s">
        <v>136</v>
      </c>
      <c r="B17" s="2" t="s">
        <v>8</v>
      </c>
      <c r="C17" s="2" t="s">
        <v>89</v>
      </c>
      <c r="D17" s="2" t="s">
        <v>106</v>
      </c>
      <c r="E17" s="2" t="s">
        <v>95</v>
      </c>
      <c r="G17" s="2" t="s">
        <v>852</v>
      </c>
      <c r="I17" t="s">
        <v>2</v>
      </c>
      <c r="J17" t="s">
        <v>427</v>
      </c>
      <c r="K17"/>
      <c r="L1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ETVMN.VM11.51-79_CIMAN</v>
      </c>
      <c r="M17"/>
      <c r="N17" s="13" t="str">
        <f>VLOOKUP(Tabla3[[#This Row],[Tipo]],TIPO[#All],2,0)</f>
        <v>ET</v>
      </c>
      <c r="O17" s="13" t="str">
        <f>VLOOKUP(Tabla3[[#This Row],[Lugar]],LUGAR[#All],2,0)</f>
        <v>VMN</v>
      </c>
      <c r="P17" s="13" t="str">
        <f>Tabla3[[#This Row],[SIGLAS]]</f>
        <v>VM11</v>
      </c>
      <c r="Q17" s="13" t="str">
        <f>_xlfn.IFNA(VLOOKUP(Tabla3[[#This Row],[Nivel de tension]],NIVEL[#All],2,0),"")</f>
        <v/>
      </c>
      <c r="R17" s="13" t="str">
        <f>_xlfn.IFNA(VLOOKUP(Tabla3[[#This Row],[DISPOSITIVO]],DISPOSITIVO[],2,0),"")</f>
        <v>51-</v>
      </c>
      <c r="S17" s="13" t="str">
        <f>_xlfn.IFNA(VLOOKUP(Tabla3[[#This Row],[PROTECCION SECUNDARIA]],PROTECCION_SECUNDARIA[],2,0),"")</f>
        <v/>
      </c>
      <c r="T17" s="13" t="str">
        <f>_xlfn.IFNA(VLOOKUP(Tabla3[[#This Row],[Que]],QUE[#All],2,0),"")</f>
        <v>79</v>
      </c>
      <c r="U17" s="13" t="str">
        <f>_xlfn.IFNA(VLOOKUP(Tabla3[[#This Row],[Señal]],SEÑAL[#All],2,0),"")</f>
        <v>_CIMAN</v>
      </c>
      <c r="V17" s="13" t="str">
        <f>_xlfn.IFNA(VLOOKUP(Tabla3[[#This Row],[NUMERO]],SEÑAL[#All],2,0),"")</f>
        <v/>
      </c>
    </row>
    <row r="18" spans="1:22" x14ac:dyDescent="0.25">
      <c r="A18" s="25" t="s">
        <v>137</v>
      </c>
      <c r="B18" s="2" t="s">
        <v>8</v>
      </c>
      <c r="C18" s="2" t="s">
        <v>89</v>
      </c>
      <c r="D18" s="2" t="s">
        <v>106</v>
      </c>
      <c r="E18" s="2" t="s">
        <v>95</v>
      </c>
      <c r="G18" s="2" t="s">
        <v>852</v>
      </c>
      <c r="I18" t="s">
        <v>2</v>
      </c>
      <c r="J18" t="s">
        <v>27</v>
      </c>
      <c r="K18"/>
      <c r="L1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ETVMN.VM11.51-79_LISTO</v>
      </c>
      <c r="M18"/>
      <c r="N18" s="13" t="str">
        <f>VLOOKUP(Tabla3[[#This Row],[Tipo]],TIPO[#All],2,0)</f>
        <v>ET</v>
      </c>
      <c r="O18" s="13" t="str">
        <f>VLOOKUP(Tabla3[[#This Row],[Lugar]],LUGAR[#All],2,0)</f>
        <v>VMN</v>
      </c>
      <c r="P18" s="13" t="str">
        <f>Tabla3[[#This Row],[SIGLAS]]</f>
        <v>VM11</v>
      </c>
      <c r="Q18" s="13" t="str">
        <f>_xlfn.IFNA(VLOOKUP(Tabla3[[#This Row],[Nivel de tension]],NIVEL[#All],2,0),"")</f>
        <v/>
      </c>
      <c r="R18" s="13" t="str">
        <f>_xlfn.IFNA(VLOOKUP(Tabla3[[#This Row],[DISPOSITIVO]],DISPOSITIVO[],2,0),"")</f>
        <v>51-</v>
      </c>
      <c r="S18" s="13" t="str">
        <f>_xlfn.IFNA(VLOOKUP(Tabla3[[#This Row],[PROTECCION SECUNDARIA]],PROTECCION_SECUNDARIA[],2,0),"")</f>
        <v/>
      </c>
      <c r="T18" s="13" t="str">
        <f>_xlfn.IFNA(VLOOKUP(Tabla3[[#This Row],[Que]],QUE[#All],2,0),"")</f>
        <v>79</v>
      </c>
      <c r="U18" s="13" t="str">
        <f>_xlfn.IFNA(VLOOKUP(Tabla3[[#This Row],[Señal]],SEÑAL[#All],2,0),"")</f>
        <v>_LISTO</v>
      </c>
      <c r="V18" s="13" t="str">
        <f>_xlfn.IFNA(VLOOKUP(Tabla3[[#This Row],[NUMERO]],SEÑAL[#All],2,0),"")</f>
        <v/>
      </c>
    </row>
    <row r="19" spans="1:22" x14ac:dyDescent="0.25">
      <c r="A19" s="25" t="s">
        <v>138</v>
      </c>
      <c r="B19" s="2" t="s">
        <v>8</v>
      </c>
      <c r="C19" s="2" t="s">
        <v>89</v>
      </c>
      <c r="D19" s="2" t="s">
        <v>106</v>
      </c>
      <c r="E19" s="2" t="s">
        <v>95</v>
      </c>
      <c r="G19" s="2" t="s">
        <v>29</v>
      </c>
      <c r="I19" t="s">
        <v>438</v>
      </c>
      <c r="J19"/>
      <c r="K19"/>
      <c r="L1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ETVMN.VM11.52_EST</v>
      </c>
      <c r="M19"/>
      <c r="N19" s="13" t="str">
        <f>VLOOKUP(Tabla3[[#This Row],[Tipo]],TIPO[#All],2,0)</f>
        <v>ET</v>
      </c>
      <c r="O19" s="13" t="str">
        <f>VLOOKUP(Tabla3[[#This Row],[Lugar]],LUGAR[#All],2,0)</f>
        <v>VMN</v>
      </c>
      <c r="P19" s="13" t="str">
        <f>Tabla3[[#This Row],[SIGLAS]]</f>
        <v>VM11</v>
      </c>
      <c r="Q19" s="13" t="str">
        <f>_xlfn.IFNA(VLOOKUP(Tabla3[[#This Row],[Nivel de tension]],NIVEL[#All],2,0),"")</f>
        <v/>
      </c>
      <c r="R19" s="13" t="str">
        <f>_xlfn.IFNA(VLOOKUP(Tabla3[[#This Row],[DISPOSITIVO]],DISPOSITIVO[],2,0),"")</f>
        <v>52_</v>
      </c>
      <c r="S19" s="13" t="str">
        <f>_xlfn.IFNA(VLOOKUP(Tabla3[[#This Row],[PROTECCION SECUNDARIA]],PROTECCION_SECUNDARIA[],2,0),"")</f>
        <v/>
      </c>
      <c r="T19" s="13" t="str">
        <f>_xlfn.IFNA(VLOOKUP(Tabla3[[#This Row],[Que]],QUE[#All],2,0),"")</f>
        <v>EST</v>
      </c>
      <c r="U19" s="13" t="str">
        <f>_xlfn.IFNA(VLOOKUP(Tabla3[[#This Row],[Señal]],SEÑAL[#All],2,0),"")</f>
        <v/>
      </c>
      <c r="V19" s="13" t="str">
        <f>_xlfn.IFNA(VLOOKUP(Tabla3[[#This Row],[NUMERO]],SEÑAL[#All],2,0),"")</f>
        <v/>
      </c>
    </row>
    <row r="20" spans="1:22" x14ac:dyDescent="0.25">
      <c r="A20" s="25" t="s">
        <v>139</v>
      </c>
      <c r="B20" s="2" t="s">
        <v>8</v>
      </c>
      <c r="C20" s="2" t="s">
        <v>89</v>
      </c>
      <c r="D20" s="2" t="s">
        <v>106</v>
      </c>
      <c r="E20" s="2" t="s">
        <v>95</v>
      </c>
      <c r="G20" s="2" t="s">
        <v>842</v>
      </c>
      <c r="I20" t="s">
        <v>438</v>
      </c>
      <c r="J20"/>
      <c r="K20"/>
      <c r="L2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ETVMN.VM11.89L_EST</v>
      </c>
      <c r="M20"/>
      <c r="N20" s="13" t="str">
        <f>VLOOKUP(Tabla3[[#This Row],[Tipo]],TIPO[#All],2,0)</f>
        <v>ET</v>
      </c>
      <c r="O20" s="13" t="str">
        <f>VLOOKUP(Tabla3[[#This Row],[Lugar]],LUGAR[#All],2,0)</f>
        <v>VMN</v>
      </c>
      <c r="P20" s="13" t="str">
        <f>Tabla3[[#This Row],[SIGLAS]]</f>
        <v>VM11</v>
      </c>
      <c r="Q20" s="13" t="str">
        <f>_xlfn.IFNA(VLOOKUP(Tabla3[[#This Row],[Nivel de tension]],NIVEL[#All],2,0),"")</f>
        <v/>
      </c>
      <c r="R20" s="13" t="str">
        <f>_xlfn.IFNA(VLOOKUP(Tabla3[[#This Row],[DISPOSITIVO]],DISPOSITIVO[],2,0),"")</f>
        <v>89L_</v>
      </c>
      <c r="S20" s="13" t="str">
        <f>_xlfn.IFNA(VLOOKUP(Tabla3[[#This Row],[PROTECCION SECUNDARIA]],PROTECCION_SECUNDARIA[],2,0),"")</f>
        <v/>
      </c>
      <c r="T20" s="13" t="str">
        <f>_xlfn.IFNA(VLOOKUP(Tabla3[[#This Row],[Que]],QUE[#All],2,0),"")</f>
        <v>EST</v>
      </c>
      <c r="U20" s="13" t="str">
        <f>_xlfn.IFNA(VLOOKUP(Tabla3[[#This Row],[Señal]],SEÑAL[#All],2,0),"")</f>
        <v/>
      </c>
      <c r="V20" s="13" t="str">
        <f>_xlfn.IFNA(VLOOKUP(Tabla3[[#This Row],[NUMERO]],SEÑAL[#All],2,0),"")</f>
        <v/>
      </c>
    </row>
    <row r="21" spans="1:22" x14ac:dyDescent="0.25">
      <c r="A21" s="25" t="s">
        <v>140</v>
      </c>
      <c r="B21" s="2" t="s">
        <v>8</v>
      </c>
      <c r="C21" s="2" t="s">
        <v>89</v>
      </c>
      <c r="D21" s="2" t="s">
        <v>106</v>
      </c>
      <c r="E21" s="2" t="s">
        <v>95</v>
      </c>
      <c r="G21" s="2" t="s">
        <v>162</v>
      </c>
      <c r="I21" t="s">
        <v>438</v>
      </c>
      <c r="J21"/>
      <c r="K21"/>
      <c r="L2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ETVMN.VM11.57_EST</v>
      </c>
      <c r="M21"/>
      <c r="N21" s="13" t="str">
        <f>VLOOKUP(Tabla3[[#This Row],[Tipo]],TIPO[#All],2,0)</f>
        <v>ET</v>
      </c>
      <c r="O21" s="13" t="str">
        <f>VLOOKUP(Tabla3[[#This Row],[Lugar]],LUGAR[#All],2,0)</f>
        <v>VMN</v>
      </c>
      <c r="P21" s="13" t="str">
        <f>Tabla3[[#This Row],[SIGLAS]]</f>
        <v>VM11</v>
      </c>
      <c r="Q21" s="13" t="str">
        <f>_xlfn.IFNA(VLOOKUP(Tabla3[[#This Row],[Nivel de tension]],NIVEL[#All],2,0),"")</f>
        <v/>
      </c>
      <c r="R21" s="13" t="str">
        <f>_xlfn.IFNA(VLOOKUP(Tabla3[[#This Row],[DISPOSITIVO]],DISPOSITIVO[],2,0),"")</f>
        <v>57_</v>
      </c>
      <c r="S21" s="13" t="str">
        <f>_xlfn.IFNA(VLOOKUP(Tabla3[[#This Row],[PROTECCION SECUNDARIA]],PROTECCION_SECUNDARIA[],2,0),"")</f>
        <v/>
      </c>
      <c r="T21" s="13" t="str">
        <f>_xlfn.IFNA(VLOOKUP(Tabla3[[#This Row],[Que]],QUE[#All],2,0),"")</f>
        <v>EST</v>
      </c>
      <c r="U21" s="13" t="str">
        <f>_xlfn.IFNA(VLOOKUP(Tabla3[[#This Row],[Señal]],SEÑAL[#All],2,0),"")</f>
        <v/>
      </c>
      <c r="V21" s="13" t="str">
        <f>_xlfn.IFNA(VLOOKUP(Tabla3[[#This Row],[NUMERO]],SEÑAL[#All],2,0),"")</f>
        <v/>
      </c>
    </row>
    <row r="22" spans="1:22" x14ac:dyDescent="0.25">
      <c r="A22" s="25" t="s">
        <v>141</v>
      </c>
      <c r="B22" s="2" t="s">
        <v>8</v>
      </c>
      <c r="C22" s="2" t="s">
        <v>89</v>
      </c>
      <c r="D22" s="2" t="s">
        <v>106</v>
      </c>
      <c r="E22" s="2" t="s">
        <v>95</v>
      </c>
      <c r="G22" s="2" t="s">
        <v>852</v>
      </c>
      <c r="I22" t="s">
        <v>384</v>
      </c>
      <c r="J22" t="s">
        <v>478</v>
      </c>
      <c r="K22"/>
      <c r="L2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ETVMN.VM11.51-52_RESDES</v>
      </c>
      <c r="M22"/>
      <c r="N22" s="13" t="str">
        <f>VLOOKUP(Tabla3[[#This Row],[Tipo]],TIPO[#All],2,0)</f>
        <v>ET</v>
      </c>
      <c r="O22" s="13" t="str">
        <f>VLOOKUP(Tabla3[[#This Row],[Lugar]],LUGAR[#All],2,0)</f>
        <v>VMN</v>
      </c>
      <c r="P22" s="13" t="str">
        <f>Tabla3[[#This Row],[SIGLAS]]</f>
        <v>VM11</v>
      </c>
      <c r="Q22" s="13" t="str">
        <f>_xlfn.IFNA(VLOOKUP(Tabla3[[#This Row],[Nivel de tension]],NIVEL[#All],2,0),"")</f>
        <v/>
      </c>
      <c r="R22" s="13" t="str">
        <f>_xlfn.IFNA(VLOOKUP(Tabla3[[#This Row],[DISPOSITIVO]],DISPOSITIVO[],2,0),"")</f>
        <v>51-</v>
      </c>
      <c r="S22" s="13" t="str">
        <f>_xlfn.IFNA(VLOOKUP(Tabla3[[#This Row],[PROTECCION SECUNDARIA]],PROTECCION_SECUNDARIA[],2,0),"")</f>
        <v/>
      </c>
      <c r="T22" s="13" t="str">
        <f>_xlfn.IFNA(VLOOKUP(Tabla3[[#This Row],[Que]],QUE[#All],2,0),"")</f>
        <v>52</v>
      </c>
      <c r="U22" s="13" t="str">
        <f>_xlfn.IFNA(VLOOKUP(Tabla3[[#This Row],[Señal]],SEÑAL[#All],2,0),"")</f>
        <v>_RESDES</v>
      </c>
      <c r="V22" s="13" t="str">
        <f>_xlfn.IFNA(VLOOKUP(Tabla3[[#This Row],[NUMERO]],SEÑAL[#All],2,0),"")</f>
        <v/>
      </c>
    </row>
    <row r="23" spans="1:22" x14ac:dyDescent="0.25">
      <c r="A23" s="25" t="s">
        <v>142</v>
      </c>
      <c r="B23" s="2" t="s">
        <v>8</v>
      </c>
      <c r="C23" s="2" t="s">
        <v>89</v>
      </c>
      <c r="D23" s="2" t="s">
        <v>106</v>
      </c>
      <c r="E23" s="2" t="s">
        <v>95</v>
      </c>
      <c r="G23" s="2" t="s">
        <v>852</v>
      </c>
      <c r="I23" t="s">
        <v>384</v>
      </c>
      <c r="J23" t="s">
        <v>584</v>
      </c>
      <c r="K23"/>
      <c r="L2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ETVMN.VM11.51-52_GAS</v>
      </c>
      <c r="M23"/>
      <c r="N23" s="13" t="str">
        <f>VLOOKUP(Tabla3[[#This Row],[Tipo]],TIPO[#All],2,0)</f>
        <v>ET</v>
      </c>
      <c r="O23" s="13" t="str">
        <f>VLOOKUP(Tabla3[[#This Row],[Lugar]],LUGAR[#All],2,0)</f>
        <v>VMN</v>
      </c>
      <c r="P23" s="13" t="str">
        <f>Tabla3[[#This Row],[SIGLAS]]</f>
        <v>VM11</v>
      </c>
      <c r="Q23" s="13" t="str">
        <f>_xlfn.IFNA(VLOOKUP(Tabla3[[#This Row],[Nivel de tension]],NIVEL[#All],2,0),"")</f>
        <v/>
      </c>
      <c r="R23" s="13" t="str">
        <f>_xlfn.IFNA(VLOOKUP(Tabla3[[#This Row],[DISPOSITIVO]],DISPOSITIVO[],2,0),"")</f>
        <v>51-</v>
      </c>
      <c r="S23" s="13" t="str">
        <f>_xlfn.IFNA(VLOOKUP(Tabla3[[#This Row],[PROTECCION SECUNDARIA]],PROTECCION_SECUNDARIA[],2,0),"")</f>
        <v/>
      </c>
      <c r="T23" s="13" t="str">
        <f>_xlfn.IFNA(VLOOKUP(Tabla3[[#This Row],[Que]],QUE[#All],2,0),"")</f>
        <v>52</v>
      </c>
      <c r="U23" s="13" t="str">
        <f>_xlfn.IFNA(VLOOKUP(Tabla3[[#This Row],[Señal]],SEÑAL[#All],2,0),"")</f>
        <v>_GAS</v>
      </c>
      <c r="V23" s="13" t="str">
        <f>_xlfn.IFNA(VLOOKUP(Tabla3[[#This Row],[NUMERO]],SEÑAL[#All],2,0),"")</f>
        <v/>
      </c>
    </row>
    <row r="24" spans="1:22" x14ac:dyDescent="0.25">
      <c r="A24" s="25" t="s">
        <v>143</v>
      </c>
      <c r="B24" s="2" t="s">
        <v>8</v>
      </c>
      <c r="C24" s="2" t="s">
        <v>89</v>
      </c>
      <c r="D24" s="2" t="s">
        <v>106</v>
      </c>
      <c r="E24" s="2" t="s">
        <v>95</v>
      </c>
      <c r="G24" s="2" t="s">
        <v>852</v>
      </c>
      <c r="I24" t="s">
        <v>847</v>
      </c>
      <c r="J24"/>
      <c r="K24"/>
      <c r="L2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ETVMN.VM11.51-VPROT</v>
      </c>
      <c r="M24"/>
      <c r="N24" s="13" t="str">
        <f>VLOOKUP(Tabla3[[#This Row],[Tipo]],TIPO[#All],2,0)</f>
        <v>ET</v>
      </c>
      <c r="O24" s="13" t="str">
        <f>VLOOKUP(Tabla3[[#This Row],[Lugar]],LUGAR[#All],2,0)</f>
        <v>VMN</v>
      </c>
      <c r="P24" s="13" t="str">
        <f>Tabla3[[#This Row],[SIGLAS]]</f>
        <v>VM11</v>
      </c>
      <c r="Q24" s="13" t="str">
        <f>_xlfn.IFNA(VLOOKUP(Tabla3[[#This Row],[Nivel de tension]],NIVEL[#All],2,0),"")</f>
        <v/>
      </c>
      <c r="R24" s="13" t="str">
        <f>_xlfn.IFNA(VLOOKUP(Tabla3[[#This Row],[DISPOSITIVO]],DISPOSITIVO[],2,0),"")</f>
        <v>51-</v>
      </c>
      <c r="S24" s="13" t="str">
        <f>_xlfn.IFNA(VLOOKUP(Tabla3[[#This Row],[PROTECCION SECUNDARIA]],PROTECCION_SECUNDARIA[],2,0),"")</f>
        <v/>
      </c>
      <c r="T24" s="13" t="str">
        <f>_xlfn.IFNA(VLOOKUP(Tabla3[[#This Row],[Que]],QUE[#All],2,0),"")</f>
        <v>VPROT</v>
      </c>
      <c r="U24" s="13" t="str">
        <f>_xlfn.IFNA(VLOOKUP(Tabla3[[#This Row],[Señal]],SEÑAL[#All],2,0),"")</f>
        <v/>
      </c>
      <c r="V24" s="13" t="str">
        <f>_xlfn.IFNA(VLOOKUP(Tabla3[[#This Row],[NUMERO]],SEÑAL[#All],2,0),"")</f>
        <v/>
      </c>
    </row>
    <row r="25" spans="1:22" x14ac:dyDescent="0.25">
      <c r="A25" s="25" t="s">
        <v>144</v>
      </c>
      <c r="B25" s="2" t="s">
        <v>8</v>
      </c>
      <c r="C25" s="2" t="s">
        <v>89</v>
      </c>
      <c r="D25" s="2" t="s">
        <v>106</v>
      </c>
      <c r="E25" s="2" t="s">
        <v>95</v>
      </c>
      <c r="I25" t="s">
        <v>848</v>
      </c>
      <c r="J25" t="s">
        <v>438</v>
      </c>
      <c r="K25"/>
      <c r="L2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ETVMN.VM11.LL_EST</v>
      </c>
      <c r="M25"/>
      <c r="N25" s="13" t="str">
        <f>VLOOKUP(Tabla3[[#This Row],[Tipo]],TIPO[#All],2,0)</f>
        <v>ET</v>
      </c>
      <c r="O25" s="13" t="str">
        <f>VLOOKUP(Tabla3[[#This Row],[Lugar]],LUGAR[#All],2,0)</f>
        <v>VMN</v>
      </c>
      <c r="P25" s="13" t="str">
        <f>Tabla3[[#This Row],[SIGLAS]]</f>
        <v>VM11</v>
      </c>
      <c r="Q25" s="13" t="str">
        <f>_xlfn.IFNA(VLOOKUP(Tabla3[[#This Row],[Nivel de tension]],NIVEL[#All],2,0),"")</f>
        <v/>
      </c>
      <c r="R25" s="13" t="str">
        <f>_xlfn.IFNA(VLOOKUP(Tabla3[[#This Row],[DISPOSITIVO]],DISPOSITIVO[],2,0),"")</f>
        <v/>
      </c>
      <c r="S25" s="13" t="str">
        <f>_xlfn.IFNA(VLOOKUP(Tabla3[[#This Row],[PROTECCION SECUNDARIA]],PROTECCION_SECUNDARIA[],2,0),"")</f>
        <v/>
      </c>
      <c r="T25" s="13" t="str">
        <f>_xlfn.IFNA(VLOOKUP(Tabla3[[#This Row],[Que]],QUE[#All],2,0),"")</f>
        <v>LL</v>
      </c>
      <c r="U25" s="13" t="str">
        <f>_xlfn.IFNA(VLOOKUP(Tabla3[[#This Row],[Señal]],SEÑAL[#All],2,0),"")</f>
        <v>_EST</v>
      </c>
      <c r="V25" s="13" t="str">
        <f>_xlfn.IFNA(VLOOKUP(Tabla3[[#This Row],[NUMERO]],SEÑAL[#All],2,0),"")</f>
        <v/>
      </c>
    </row>
    <row r="26" spans="1:22" x14ac:dyDescent="0.25">
      <c r="A26" s="25" t="s">
        <v>145</v>
      </c>
      <c r="B26" s="2" t="s">
        <v>8</v>
      </c>
      <c r="C26" s="2" t="s">
        <v>89</v>
      </c>
      <c r="D26" s="2" t="s">
        <v>106</v>
      </c>
      <c r="E26" s="2" t="s">
        <v>95</v>
      </c>
      <c r="G26" s="2" t="s">
        <v>852</v>
      </c>
      <c r="I26" t="s">
        <v>858</v>
      </c>
      <c r="J26"/>
      <c r="K26"/>
      <c r="L2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ETVMN.VM11.51-VSENIAL</v>
      </c>
      <c r="M26"/>
      <c r="N26" s="13" t="str">
        <f>VLOOKUP(Tabla3[[#This Row],[Tipo]],TIPO[#All],2,0)</f>
        <v>ET</v>
      </c>
      <c r="O26" s="13" t="str">
        <f>VLOOKUP(Tabla3[[#This Row],[Lugar]],LUGAR[#All],2,0)</f>
        <v>VMN</v>
      </c>
      <c r="P26" s="13" t="str">
        <f>Tabla3[[#This Row],[SIGLAS]]</f>
        <v>VM11</v>
      </c>
      <c r="Q26" s="13" t="str">
        <f>_xlfn.IFNA(VLOOKUP(Tabla3[[#This Row],[Nivel de tension]],NIVEL[#All],2,0),"")</f>
        <v/>
      </c>
      <c r="R26" s="13" t="str">
        <f>_xlfn.IFNA(VLOOKUP(Tabla3[[#This Row],[DISPOSITIVO]],DISPOSITIVO[],2,0),"")</f>
        <v>51-</v>
      </c>
      <c r="S26" s="13" t="str">
        <f>_xlfn.IFNA(VLOOKUP(Tabla3[[#This Row],[PROTECCION SECUNDARIA]],PROTECCION_SECUNDARIA[],2,0),"")</f>
        <v/>
      </c>
      <c r="T26" s="13" t="str">
        <f>_xlfn.IFNA(VLOOKUP(Tabla3[[#This Row],[Que]],QUE[#All],2,0),"")</f>
        <v>VSENIAL</v>
      </c>
      <c r="U26" s="13" t="str">
        <f>_xlfn.IFNA(VLOOKUP(Tabla3[[#This Row],[Señal]],SEÑAL[#All],2,0),"")</f>
        <v/>
      </c>
      <c r="V26" s="13" t="str">
        <f>_xlfn.IFNA(VLOOKUP(Tabla3[[#This Row],[NUMERO]],SEÑAL[#All],2,0),"")</f>
        <v/>
      </c>
    </row>
    <row r="27" spans="1:22" x14ac:dyDescent="0.25">
      <c r="A27" s="25" t="s">
        <v>146</v>
      </c>
      <c r="B27" s="2" t="s">
        <v>8</v>
      </c>
      <c r="C27" s="2" t="s">
        <v>89</v>
      </c>
      <c r="D27" s="2" t="s">
        <v>106</v>
      </c>
      <c r="E27" s="2" t="s">
        <v>95</v>
      </c>
      <c r="G27" s="2" t="s">
        <v>859</v>
      </c>
      <c r="I27" t="s">
        <v>438</v>
      </c>
      <c r="J27"/>
      <c r="K27"/>
      <c r="L2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ETVMN.VM11.89B_EST</v>
      </c>
      <c r="M27"/>
      <c r="N27" s="13" t="str">
        <f>VLOOKUP(Tabla3[[#This Row],[Tipo]],TIPO[#All],2,0)</f>
        <v>ET</v>
      </c>
      <c r="O27" s="13" t="str">
        <f>VLOOKUP(Tabla3[[#This Row],[Lugar]],LUGAR[#All],2,0)</f>
        <v>VMN</v>
      </c>
      <c r="P27" s="13" t="str">
        <f>Tabla3[[#This Row],[SIGLAS]]</f>
        <v>VM11</v>
      </c>
      <c r="Q27" s="13" t="str">
        <f>_xlfn.IFNA(VLOOKUP(Tabla3[[#This Row],[Nivel de tension]],NIVEL[#All],2,0),"")</f>
        <v/>
      </c>
      <c r="R27" s="13" t="str">
        <f>_xlfn.IFNA(VLOOKUP(Tabla3[[#This Row],[DISPOSITIVO]],DISPOSITIVO[],2,0),"")</f>
        <v>89B_</v>
      </c>
      <c r="S27" s="13" t="str">
        <f>_xlfn.IFNA(VLOOKUP(Tabla3[[#This Row],[PROTECCION SECUNDARIA]],PROTECCION_SECUNDARIA[],2,0),"")</f>
        <v/>
      </c>
      <c r="T27" s="13" t="str">
        <f>_xlfn.IFNA(VLOOKUP(Tabla3[[#This Row],[Que]],QUE[#All],2,0),"")</f>
        <v>EST</v>
      </c>
      <c r="U27" s="13" t="str">
        <f>_xlfn.IFNA(VLOOKUP(Tabla3[[#This Row],[Señal]],SEÑAL[#All],2,0),"")</f>
        <v/>
      </c>
      <c r="V27" s="13" t="str">
        <f>_xlfn.IFNA(VLOOKUP(Tabla3[[#This Row],[NUMERO]],SEÑAL[#All],2,0),"")</f>
        <v/>
      </c>
    </row>
    <row r="28" spans="1:22" x14ac:dyDescent="0.25">
      <c r="A28" s="25" t="s">
        <v>147</v>
      </c>
      <c r="B28" s="2" t="s">
        <v>8</v>
      </c>
      <c r="C28" s="2" t="s">
        <v>89</v>
      </c>
      <c r="D28" s="2" t="s">
        <v>106</v>
      </c>
      <c r="E28" s="2" t="s">
        <v>95</v>
      </c>
      <c r="G28" s="2" t="s">
        <v>852</v>
      </c>
      <c r="I28" t="s">
        <v>384</v>
      </c>
      <c r="J28" t="s">
        <v>438</v>
      </c>
      <c r="K28"/>
      <c r="L2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ETVMN.VM11.51-52_EST</v>
      </c>
      <c r="M28"/>
      <c r="N28" s="13" t="str">
        <f>VLOOKUP(Tabla3[[#This Row],[Tipo]],TIPO[#All],2,0)</f>
        <v>ET</v>
      </c>
      <c r="O28" s="13" t="str">
        <f>VLOOKUP(Tabla3[[#This Row],[Lugar]],LUGAR[#All],2,0)</f>
        <v>VMN</v>
      </c>
      <c r="P28" s="13" t="str">
        <f>Tabla3[[#This Row],[SIGLAS]]</f>
        <v>VM11</v>
      </c>
      <c r="Q28" s="13" t="str">
        <f>_xlfn.IFNA(VLOOKUP(Tabla3[[#This Row],[Nivel de tension]],NIVEL[#All],2,0),"")</f>
        <v/>
      </c>
      <c r="R28" s="13" t="str">
        <f>_xlfn.IFNA(VLOOKUP(Tabla3[[#This Row],[DISPOSITIVO]],DISPOSITIVO[],2,0),"")</f>
        <v>51-</v>
      </c>
      <c r="S28" s="13" t="str">
        <f>_xlfn.IFNA(VLOOKUP(Tabla3[[#This Row],[PROTECCION SECUNDARIA]],PROTECCION_SECUNDARIA[],2,0),"")</f>
        <v/>
      </c>
      <c r="T28" s="13" t="str">
        <f>_xlfn.IFNA(VLOOKUP(Tabla3[[#This Row],[Que]],QUE[#All],2,0),"")</f>
        <v>52</v>
      </c>
      <c r="U28" s="13" t="str">
        <f>_xlfn.IFNA(VLOOKUP(Tabla3[[#This Row],[Señal]],SEÑAL[#All],2,0),"")</f>
        <v>_EST</v>
      </c>
      <c r="V28" s="13" t="str">
        <f>_xlfn.IFNA(VLOOKUP(Tabla3[[#This Row],[NUMERO]],SEÑAL[#All],2,0),"")</f>
        <v/>
      </c>
    </row>
    <row r="29" spans="1:22" x14ac:dyDescent="0.25">
      <c r="A29" s="25" t="s">
        <v>148</v>
      </c>
      <c r="B29" s="2" t="s">
        <v>8</v>
      </c>
      <c r="C29" s="2" t="s">
        <v>89</v>
      </c>
      <c r="D29" s="2" t="s">
        <v>106</v>
      </c>
      <c r="E29" s="2" t="s">
        <v>95</v>
      </c>
      <c r="I29"/>
      <c r="J29"/>
      <c r="K29"/>
      <c r="L2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</v>
      </c>
      <c r="M29"/>
      <c r="N29" s="13" t="str">
        <f>VLOOKUP(Tabla3[[#This Row],[Tipo]],TIPO[#All],2,0)</f>
        <v>ET</v>
      </c>
      <c r="O29" s="13" t="str">
        <f>VLOOKUP(Tabla3[[#This Row],[Lugar]],LUGAR[#All],2,0)</f>
        <v>VMN</v>
      </c>
      <c r="P29" s="13" t="str">
        <f>Tabla3[[#This Row],[SIGLAS]]</f>
        <v>VM11</v>
      </c>
      <c r="Q29" s="13" t="str">
        <f>_xlfn.IFNA(VLOOKUP(Tabla3[[#This Row],[Nivel de tension]],NIVEL[#All],2,0),"")</f>
        <v/>
      </c>
      <c r="R29" s="13" t="str">
        <f>_xlfn.IFNA(VLOOKUP(Tabla3[[#This Row],[DISPOSITIVO]],DISPOSITIVO[],2,0),"")</f>
        <v/>
      </c>
      <c r="S29" s="13" t="str">
        <f>_xlfn.IFNA(VLOOKUP(Tabla3[[#This Row],[PROTECCION SECUNDARIA]],PROTECCION_SECUNDARIA[],2,0),"")</f>
        <v/>
      </c>
      <c r="T29" s="13" t="str">
        <f>_xlfn.IFNA(VLOOKUP(Tabla3[[#This Row],[Que]],QUE[#All],2,0),"")</f>
        <v/>
      </c>
      <c r="U29" s="13" t="str">
        <f>_xlfn.IFNA(VLOOKUP(Tabla3[[#This Row],[Señal]],SEÑAL[#All],2,0),"")</f>
        <v/>
      </c>
      <c r="V29" s="13" t="str">
        <f>_xlfn.IFNA(VLOOKUP(Tabla3[[#This Row],[NUMERO]],SEÑAL[#All],2,0),"")</f>
        <v/>
      </c>
    </row>
    <row r="30" spans="1:22" x14ac:dyDescent="0.25">
      <c r="A30" s="25" t="s">
        <v>149</v>
      </c>
      <c r="B30" s="2" t="s">
        <v>8</v>
      </c>
      <c r="C30" s="2" t="s">
        <v>89</v>
      </c>
      <c r="D30" s="2" t="s">
        <v>106</v>
      </c>
      <c r="E30" s="2" t="s">
        <v>95</v>
      </c>
      <c r="G30" s="2" t="s">
        <v>29</v>
      </c>
      <c r="I30" t="s">
        <v>11</v>
      </c>
      <c r="J30"/>
      <c r="K30"/>
      <c r="L3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ETVMN.VM11.52_CARRO</v>
      </c>
      <c r="M30"/>
      <c r="N30" s="13" t="str">
        <f>VLOOKUP(Tabla3[[#This Row],[Tipo]],TIPO[#All],2,0)</f>
        <v>ET</v>
      </c>
      <c r="O30" s="13" t="str">
        <f>VLOOKUP(Tabla3[[#This Row],[Lugar]],LUGAR[#All],2,0)</f>
        <v>VMN</v>
      </c>
      <c r="P30" s="13" t="str">
        <f>Tabla3[[#This Row],[SIGLAS]]</f>
        <v>VM11</v>
      </c>
      <c r="Q30" s="13" t="str">
        <f>_xlfn.IFNA(VLOOKUP(Tabla3[[#This Row],[Nivel de tension]],NIVEL[#All],2,0),"")</f>
        <v/>
      </c>
      <c r="R30" s="13" t="str">
        <f>_xlfn.IFNA(VLOOKUP(Tabla3[[#This Row],[DISPOSITIVO]],DISPOSITIVO[],2,0),"")</f>
        <v>52_</v>
      </c>
      <c r="S30" s="13" t="str">
        <f>_xlfn.IFNA(VLOOKUP(Tabla3[[#This Row],[PROTECCION SECUNDARIA]],PROTECCION_SECUNDARIA[],2,0),"")</f>
        <v/>
      </c>
      <c r="T30" s="13" t="str">
        <f>_xlfn.IFNA(VLOOKUP(Tabla3[[#This Row],[Que]],QUE[#All],2,0),"")</f>
        <v>CARRO</v>
      </c>
      <c r="U30" s="13" t="str">
        <f>_xlfn.IFNA(VLOOKUP(Tabla3[[#This Row],[Señal]],SEÑAL[#All],2,0),"")</f>
        <v/>
      </c>
      <c r="V30" s="13" t="str">
        <f>_xlfn.IFNA(VLOOKUP(Tabla3[[#This Row],[NUMERO]],SEÑAL[#All],2,0),"")</f>
        <v/>
      </c>
    </row>
    <row r="31" spans="1:22" x14ac:dyDescent="0.25">
      <c r="A31" s="25" t="s">
        <v>150</v>
      </c>
      <c r="B31" s="2" t="s">
        <v>8</v>
      </c>
      <c r="C31" s="2" t="s">
        <v>89</v>
      </c>
      <c r="D31" s="2" t="s">
        <v>106</v>
      </c>
      <c r="E31" s="2" t="s">
        <v>95</v>
      </c>
      <c r="I31" t="s">
        <v>863</v>
      </c>
      <c r="J31"/>
      <c r="K31"/>
      <c r="L3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ETVMN.VM11.VCDO</v>
      </c>
      <c r="M31"/>
      <c r="N31" s="13" t="str">
        <f>VLOOKUP(Tabla3[[#This Row],[Tipo]],TIPO[#All],2,0)</f>
        <v>ET</v>
      </c>
      <c r="O31" s="13" t="str">
        <f>VLOOKUP(Tabla3[[#This Row],[Lugar]],LUGAR[#All],2,0)</f>
        <v>VMN</v>
      </c>
      <c r="P31" s="13" t="str">
        <f>Tabla3[[#This Row],[SIGLAS]]</f>
        <v>VM11</v>
      </c>
      <c r="Q31" s="13" t="str">
        <f>_xlfn.IFNA(VLOOKUP(Tabla3[[#This Row],[Nivel de tension]],NIVEL[#All],2,0),"")</f>
        <v/>
      </c>
      <c r="R31" s="13" t="str">
        <f>_xlfn.IFNA(VLOOKUP(Tabla3[[#This Row],[DISPOSITIVO]],DISPOSITIVO[],2,0),"")</f>
        <v/>
      </c>
      <c r="S31" s="13" t="str">
        <f>_xlfn.IFNA(VLOOKUP(Tabla3[[#This Row],[PROTECCION SECUNDARIA]],PROTECCION_SECUNDARIA[],2,0),"")</f>
        <v/>
      </c>
      <c r="T31" s="13" t="str">
        <f>_xlfn.IFNA(VLOOKUP(Tabla3[[#This Row],[Que]],QUE[#All],2,0),"")</f>
        <v>VCDO</v>
      </c>
      <c r="U31" s="13" t="str">
        <f>_xlfn.IFNA(VLOOKUP(Tabla3[[#This Row],[Señal]],SEÑAL[#All],2,0),"")</f>
        <v/>
      </c>
      <c r="V31" s="13" t="str">
        <f>_xlfn.IFNA(VLOOKUP(Tabla3[[#This Row],[NUMERO]],SEÑAL[#All],2,0),"")</f>
        <v/>
      </c>
    </row>
    <row r="32" spans="1:22" x14ac:dyDescent="0.25">
      <c r="A32" s="25" t="s">
        <v>151</v>
      </c>
      <c r="B32" s="2" t="s">
        <v>8</v>
      </c>
      <c r="C32" s="2" t="s">
        <v>89</v>
      </c>
      <c r="D32" s="2" t="s">
        <v>106</v>
      </c>
      <c r="E32" s="2" t="s">
        <v>95</v>
      </c>
      <c r="G32" s="2" t="s">
        <v>26</v>
      </c>
      <c r="I32" t="s">
        <v>438</v>
      </c>
      <c r="J32"/>
      <c r="K32"/>
      <c r="L3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ETVMN.VM11.79_EST</v>
      </c>
      <c r="M32"/>
      <c r="N32" s="13" t="str">
        <f>VLOOKUP(Tabla3[[#This Row],[Tipo]],TIPO[#All],2,0)</f>
        <v>ET</v>
      </c>
      <c r="O32" s="13" t="str">
        <f>VLOOKUP(Tabla3[[#This Row],[Lugar]],LUGAR[#All],2,0)</f>
        <v>VMN</v>
      </c>
      <c r="P32" s="13" t="str">
        <f>Tabla3[[#This Row],[SIGLAS]]</f>
        <v>VM11</v>
      </c>
      <c r="Q32" s="13" t="str">
        <f>_xlfn.IFNA(VLOOKUP(Tabla3[[#This Row],[Nivel de tension]],NIVEL[#All],2,0),"")</f>
        <v/>
      </c>
      <c r="R32" s="13" t="str">
        <f>_xlfn.IFNA(VLOOKUP(Tabla3[[#This Row],[DISPOSITIVO]],DISPOSITIVO[],2,0),"")</f>
        <v>79_</v>
      </c>
      <c r="S32" s="13" t="str">
        <f>_xlfn.IFNA(VLOOKUP(Tabla3[[#This Row],[PROTECCION SECUNDARIA]],PROTECCION_SECUNDARIA[],2,0),"")</f>
        <v/>
      </c>
      <c r="T32" s="13" t="str">
        <f>_xlfn.IFNA(VLOOKUP(Tabla3[[#This Row],[Que]],QUE[#All],2,0),"")</f>
        <v>EST</v>
      </c>
      <c r="U32" s="13" t="str">
        <f>_xlfn.IFNA(VLOOKUP(Tabla3[[#This Row],[Señal]],SEÑAL[#All],2,0),"")</f>
        <v/>
      </c>
      <c r="V32" s="13" t="str">
        <f>_xlfn.IFNA(VLOOKUP(Tabla3[[#This Row],[NUMERO]],SEÑAL[#All],2,0),"")</f>
        <v/>
      </c>
    </row>
    <row r="33" spans="1:22" x14ac:dyDescent="0.25">
      <c r="A33" s="25" t="s">
        <v>152</v>
      </c>
      <c r="B33" s="2" t="s">
        <v>8</v>
      </c>
      <c r="C33" s="2" t="s">
        <v>89</v>
      </c>
      <c r="D33" s="2" t="s">
        <v>106</v>
      </c>
      <c r="E33" s="2" t="s">
        <v>95</v>
      </c>
      <c r="G33" s="2" t="s">
        <v>852</v>
      </c>
      <c r="I33" t="s">
        <v>848</v>
      </c>
      <c r="J33" t="s">
        <v>438</v>
      </c>
      <c r="K33"/>
      <c r="L3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ETVMN.VM11.51-LL_EST</v>
      </c>
      <c r="M33"/>
      <c r="N33" s="13" t="str">
        <f>VLOOKUP(Tabla3[[#This Row],[Tipo]],TIPO[#All],2,0)</f>
        <v>ET</v>
      </c>
      <c r="O33" s="13" t="str">
        <f>VLOOKUP(Tabla3[[#This Row],[Lugar]],LUGAR[#All],2,0)</f>
        <v>VMN</v>
      </c>
      <c r="P33" s="13" t="str">
        <f>Tabla3[[#This Row],[SIGLAS]]</f>
        <v>VM11</v>
      </c>
      <c r="Q33" s="13" t="str">
        <f>_xlfn.IFNA(VLOOKUP(Tabla3[[#This Row],[Nivel de tension]],NIVEL[#All],2,0),"")</f>
        <v/>
      </c>
      <c r="R33" s="13" t="str">
        <f>_xlfn.IFNA(VLOOKUP(Tabla3[[#This Row],[DISPOSITIVO]],DISPOSITIVO[],2,0),"")</f>
        <v>51-</v>
      </c>
      <c r="S33" s="13" t="str">
        <f>_xlfn.IFNA(VLOOKUP(Tabla3[[#This Row],[PROTECCION SECUNDARIA]],PROTECCION_SECUNDARIA[],2,0),"")</f>
        <v/>
      </c>
      <c r="T33" s="13" t="str">
        <f>_xlfn.IFNA(VLOOKUP(Tabla3[[#This Row],[Que]],QUE[#All],2,0),"")</f>
        <v>LL</v>
      </c>
      <c r="U33" s="13" t="str">
        <f>_xlfn.IFNA(VLOOKUP(Tabla3[[#This Row],[Señal]],SEÑAL[#All],2,0),"")</f>
        <v>_EST</v>
      </c>
      <c r="V33" s="13" t="str">
        <f>_xlfn.IFNA(VLOOKUP(Tabla3[[#This Row],[NUMERO]],SEÑAL[#All],2,0),"")</f>
        <v/>
      </c>
    </row>
    <row r="34" spans="1:22" x14ac:dyDescent="0.25">
      <c r="A34" s="25" t="s">
        <v>153</v>
      </c>
      <c r="B34" s="2" t="s">
        <v>8</v>
      </c>
      <c r="C34" s="2" t="s">
        <v>89</v>
      </c>
      <c r="D34" s="2" t="s">
        <v>106</v>
      </c>
      <c r="E34" s="2" t="s">
        <v>95</v>
      </c>
      <c r="I34" t="s">
        <v>477</v>
      </c>
      <c r="J34"/>
      <c r="K34"/>
      <c r="L3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ETVMN.VM11.RELE</v>
      </c>
      <c r="M34"/>
      <c r="N34" s="13" t="str">
        <f>VLOOKUP(Tabla3[[#This Row],[Tipo]],TIPO[#All],2,0)</f>
        <v>ET</v>
      </c>
      <c r="O34" s="13" t="str">
        <f>VLOOKUP(Tabla3[[#This Row],[Lugar]],LUGAR[#All],2,0)</f>
        <v>VMN</v>
      </c>
      <c r="P34" s="13" t="str">
        <f>Tabla3[[#This Row],[SIGLAS]]</f>
        <v>VM11</v>
      </c>
      <c r="Q34" s="13" t="str">
        <f>_xlfn.IFNA(VLOOKUP(Tabla3[[#This Row],[Nivel de tension]],NIVEL[#All],2,0),"")</f>
        <v/>
      </c>
      <c r="R34" s="13" t="str">
        <f>_xlfn.IFNA(VLOOKUP(Tabla3[[#This Row],[DISPOSITIVO]],DISPOSITIVO[],2,0),"")</f>
        <v/>
      </c>
      <c r="S34" s="13" t="str">
        <f>_xlfn.IFNA(VLOOKUP(Tabla3[[#This Row],[PROTECCION SECUNDARIA]],PROTECCION_SECUNDARIA[],2,0),"")</f>
        <v/>
      </c>
      <c r="T34" s="13" t="str">
        <f>_xlfn.IFNA(VLOOKUP(Tabla3[[#This Row],[Que]],QUE[#All],2,0),"")</f>
        <v>RELE</v>
      </c>
      <c r="U34" s="13" t="str">
        <f>_xlfn.IFNA(VLOOKUP(Tabla3[[#This Row],[Señal]],SEÑAL[#All],2,0),"")</f>
        <v/>
      </c>
      <c r="V34" s="13" t="str">
        <f>_xlfn.IFNA(VLOOKUP(Tabla3[[#This Row],[NUMERO]],SEÑAL[#All],2,0),"")</f>
        <v/>
      </c>
    </row>
    <row r="35" spans="1:22" x14ac:dyDescent="0.25">
      <c r="A35" s="25" t="s">
        <v>154</v>
      </c>
      <c r="B35" s="2" t="s">
        <v>8</v>
      </c>
      <c r="C35" s="2" t="s">
        <v>89</v>
      </c>
      <c r="D35" s="2" t="s">
        <v>106</v>
      </c>
      <c r="E35" s="2" t="s">
        <v>95</v>
      </c>
      <c r="I35" t="s">
        <v>403</v>
      </c>
      <c r="J35"/>
      <c r="K35"/>
      <c r="L3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ETVMN.VM11.AR</v>
      </c>
      <c r="M35"/>
      <c r="N35" s="13" t="str">
        <f>VLOOKUP(Tabla3[[#This Row],[Tipo]],TIPO[#All],2,0)</f>
        <v>ET</v>
      </c>
      <c r="O35" s="13" t="str">
        <f>VLOOKUP(Tabla3[[#This Row],[Lugar]],LUGAR[#All],2,0)</f>
        <v>VMN</v>
      </c>
      <c r="P35" s="13" t="str">
        <f>Tabla3[[#This Row],[SIGLAS]]</f>
        <v>VM11</v>
      </c>
      <c r="Q35" s="13" t="str">
        <f>_xlfn.IFNA(VLOOKUP(Tabla3[[#This Row],[Nivel de tension]],NIVEL[#All],2,0),"")</f>
        <v/>
      </c>
      <c r="R35" s="13" t="str">
        <f>_xlfn.IFNA(VLOOKUP(Tabla3[[#This Row],[DISPOSITIVO]],DISPOSITIVO[],2,0),"")</f>
        <v/>
      </c>
      <c r="S35" s="13" t="str">
        <f>_xlfn.IFNA(VLOOKUP(Tabla3[[#This Row],[PROTECCION SECUNDARIA]],PROTECCION_SECUNDARIA[],2,0),"")</f>
        <v/>
      </c>
      <c r="T35" s="13" t="str">
        <f>_xlfn.IFNA(VLOOKUP(Tabla3[[#This Row],[Que]],QUE[#All],2,0),"")</f>
        <v>AR</v>
      </c>
      <c r="U35" s="13" t="str">
        <f>_xlfn.IFNA(VLOOKUP(Tabla3[[#This Row],[Señal]],SEÑAL[#All],2,0),"")</f>
        <v/>
      </c>
      <c r="V35" s="13" t="str">
        <f>_xlfn.IFNA(VLOOKUP(Tabla3[[#This Row],[NUMERO]],SEÑAL[#All],2,0),"")</f>
        <v/>
      </c>
    </row>
    <row r="36" spans="1:22" x14ac:dyDescent="0.25">
      <c r="A36" s="25" t="s">
        <v>155</v>
      </c>
      <c r="B36" s="2" t="s">
        <v>8</v>
      </c>
      <c r="C36" s="2" t="s">
        <v>89</v>
      </c>
      <c r="D36" s="2" t="s">
        <v>106</v>
      </c>
      <c r="E36" s="2" t="s">
        <v>95</v>
      </c>
      <c r="I36" t="s">
        <v>403</v>
      </c>
      <c r="J36"/>
      <c r="K36"/>
      <c r="L3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ETVMN.VM11.AR</v>
      </c>
      <c r="M36"/>
      <c r="N36" s="13" t="str">
        <f>VLOOKUP(Tabla3[[#This Row],[Tipo]],TIPO[#All],2,0)</f>
        <v>ET</v>
      </c>
      <c r="O36" s="13" t="str">
        <f>VLOOKUP(Tabla3[[#This Row],[Lugar]],LUGAR[#All],2,0)</f>
        <v>VMN</v>
      </c>
      <c r="P36" s="13" t="str">
        <f>Tabla3[[#This Row],[SIGLAS]]</f>
        <v>VM11</v>
      </c>
      <c r="Q36" s="13" t="str">
        <f>_xlfn.IFNA(VLOOKUP(Tabla3[[#This Row],[Nivel de tension]],NIVEL[#All],2,0),"")</f>
        <v/>
      </c>
      <c r="R36" s="13" t="str">
        <f>_xlfn.IFNA(VLOOKUP(Tabla3[[#This Row],[DISPOSITIVO]],DISPOSITIVO[],2,0),"")</f>
        <v/>
      </c>
      <c r="S36" s="13" t="str">
        <f>_xlfn.IFNA(VLOOKUP(Tabla3[[#This Row],[PROTECCION SECUNDARIA]],PROTECCION_SECUNDARIA[],2,0),"")</f>
        <v/>
      </c>
      <c r="T36" s="13" t="str">
        <f>_xlfn.IFNA(VLOOKUP(Tabla3[[#This Row],[Que]],QUE[#All],2,0),"")</f>
        <v>AR</v>
      </c>
      <c r="U36" s="13" t="str">
        <f>_xlfn.IFNA(VLOOKUP(Tabla3[[#This Row],[Señal]],SEÑAL[#All],2,0),"")</f>
        <v/>
      </c>
      <c r="V36" s="13" t="str">
        <f>_xlfn.IFNA(VLOOKUP(Tabla3[[#This Row],[NUMERO]],SEÑAL[#All],2,0),"")</f>
        <v/>
      </c>
    </row>
    <row r="37" spans="1:22" x14ac:dyDescent="0.25">
      <c r="A37" s="25" t="s">
        <v>156</v>
      </c>
      <c r="B37" s="2" t="s">
        <v>8</v>
      </c>
      <c r="C37" s="2" t="s">
        <v>89</v>
      </c>
      <c r="D37" s="2" t="s">
        <v>106</v>
      </c>
      <c r="E37" s="2" t="s">
        <v>95</v>
      </c>
      <c r="I37" t="s">
        <v>2</v>
      </c>
      <c r="J37" t="s">
        <v>538</v>
      </c>
      <c r="K37"/>
      <c r="L3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ETVMN.VM11.79_BLDIN</v>
      </c>
      <c r="M37"/>
      <c r="N37" s="13" t="str">
        <f>VLOOKUP(Tabla3[[#This Row],[Tipo]],TIPO[#All],2,0)</f>
        <v>ET</v>
      </c>
      <c r="O37" s="13" t="str">
        <f>VLOOKUP(Tabla3[[#This Row],[Lugar]],LUGAR[#All],2,0)</f>
        <v>VMN</v>
      </c>
      <c r="P37" s="13" t="str">
        <f>Tabla3[[#This Row],[SIGLAS]]</f>
        <v>VM11</v>
      </c>
      <c r="Q37" s="13" t="str">
        <f>_xlfn.IFNA(VLOOKUP(Tabla3[[#This Row],[Nivel de tension]],NIVEL[#All],2,0),"")</f>
        <v/>
      </c>
      <c r="R37" s="13" t="str">
        <f>_xlfn.IFNA(VLOOKUP(Tabla3[[#This Row],[DISPOSITIVO]],DISPOSITIVO[],2,0),"")</f>
        <v/>
      </c>
      <c r="S37" s="13" t="str">
        <f>_xlfn.IFNA(VLOOKUP(Tabla3[[#This Row],[PROTECCION SECUNDARIA]],PROTECCION_SECUNDARIA[],2,0),"")</f>
        <v/>
      </c>
      <c r="T37" s="13" t="str">
        <f>_xlfn.IFNA(VLOOKUP(Tabla3[[#This Row],[Que]],QUE[#All],2,0),"")</f>
        <v>79</v>
      </c>
      <c r="U37" s="13" t="str">
        <f>_xlfn.IFNA(VLOOKUP(Tabla3[[#This Row],[Señal]],SEÑAL[#All],2,0),"")</f>
        <v>_BLDIN</v>
      </c>
      <c r="V37" s="13" t="str">
        <f>_xlfn.IFNA(VLOOKUP(Tabla3[[#This Row],[NUMERO]],SEÑAL[#All],2,0),"")</f>
        <v/>
      </c>
    </row>
    <row r="38" spans="1:22" x14ac:dyDescent="0.25">
      <c r="A38" s="25" t="s">
        <v>157</v>
      </c>
      <c r="B38" s="2" t="s">
        <v>8</v>
      </c>
      <c r="C38" s="2" t="s">
        <v>89</v>
      </c>
      <c r="D38" s="2" t="s">
        <v>106</v>
      </c>
      <c r="E38" s="2" t="s">
        <v>95</v>
      </c>
      <c r="I38" t="s">
        <v>2</v>
      </c>
      <c r="J38" t="s">
        <v>413</v>
      </c>
      <c r="K38"/>
      <c r="L3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ETVMN.VM11.79_BL</v>
      </c>
      <c r="M38"/>
      <c r="N38" s="13" t="str">
        <f>VLOOKUP(Tabla3[[#This Row],[Tipo]],TIPO[#All],2,0)</f>
        <v>ET</v>
      </c>
      <c r="O38" s="13" t="str">
        <f>VLOOKUP(Tabla3[[#This Row],[Lugar]],LUGAR[#All],2,0)</f>
        <v>VMN</v>
      </c>
      <c r="P38" s="13" t="str">
        <f>Tabla3[[#This Row],[SIGLAS]]</f>
        <v>VM11</v>
      </c>
      <c r="Q38" s="13" t="str">
        <f>_xlfn.IFNA(VLOOKUP(Tabla3[[#This Row],[Nivel de tension]],NIVEL[#All],2,0),"")</f>
        <v/>
      </c>
      <c r="R38" s="13" t="str">
        <f>_xlfn.IFNA(VLOOKUP(Tabla3[[#This Row],[DISPOSITIVO]],DISPOSITIVO[],2,0),"")</f>
        <v/>
      </c>
      <c r="S38" s="13" t="str">
        <f>_xlfn.IFNA(VLOOKUP(Tabla3[[#This Row],[PROTECCION SECUNDARIA]],PROTECCION_SECUNDARIA[],2,0),"")</f>
        <v/>
      </c>
      <c r="T38" s="13" t="str">
        <f>_xlfn.IFNA(VLOOKUP(Tabla3[[#This Row],[Que]],QUE[#All],2,0),"")</f>
        <v>79</v>
      </c>
      <c r="U38" s="13" t="str">
        <f>_xlfn.IFNA(VLOOKUP(Tabla3[[#This Row],[Señal]],SEÑAL[#All],2,0),"")</f>
        <v>_BL</v>
      </c>
      <c r="V38" s="13" t="str">
        <f>_xlfn.IFNA(VLOOKUP(Tabla3[[#This Row],[NUMERO]],SEÑAL[#All],2,0),"")</f>
        <v/>
      </c>
    </row>
    <row r="39" spans="1:22" x14ac:dyDescent="0.25">
      <c r="A39" s="25" t="s">
        <v>158</v>
      </c>
      <c r="B39" s="2" t="s">
        <v>8</v>
      </c>
      <c r="C39" s="2" t="s">
        <v>89</v>
      </c>
      <c r="D39" s="2" t="s">
        <v>106</v>
      </c>
      <c r="E39" s="2" t="s">
        <v>95</v>
      </c>
      <c r="I39" t="s">
        <v>2</v>
      </c>
      <c r="J39" t="s">
        <v>580</v>
      </c>
      <c r="K39"/>
      <c r="L3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ETVMN.VM11.79_FTI</v>
      </c>
      <c r="M39"/>
      <c r="N39" s="13" t="str">
        <f>VLOOKUP(Tabla3[[#This Row],[Tipo]],TIPO[#All],2,0)</f>
        <v>ET</v>
      </c>
      <c r="O39" s="13" t="str">
        <f>VLOOKUP(Tabla3[[#This Row],[Lugar]],LUGAR[#All],2,0)</f>
        <v>VMN</v>
      </c>
      <c r="P39" s="13" t="str">
        <f>Tabla3[[#This Row],[SIGLAS]]</f>
        <v>VM11</v>
      </c>
      <c r="Q39" s="13" t="str">
        <f>_xlfn.IFNA(VLOOKUP(Tabla3[[#This Row],[Nivel de tension]],NIVEL[#All],2,0),"")</f>
        <v/>
      </c>
      <c r="R39" s="13" t="str">
        <f>_xlfn.IFNA(VLOOKUP(Tabla3[[#This Row],[DISPOSITIVO]],DISPOSITIVO[],2,0),"")</f>
        <v/>
      </c>
      <c r="S39" s="13" t="str">
        <f>_xlfn.IFNA(VLOOKUP(Tabla3[[#This Row],[PROTECCION SECUNDARIA]],PROTECCION_SECUNDARIA[],2,0),"")</f>
        <v/>
      </c>
      <c r="T39" s="13" t="str">
        <f>_xlfn.IFNA(VLOOKUP(Tabla3[[#This Row],[Que]],QUE[#All],2,0),"")</f>
        <v>79</v>
      </c>
      <c r="U39" s="13" t="str">
        <f>_xlfn.IFNA(VLOOKUP(Tabla3[[#This Row],[Señal]],SEÑAL[#All],2,0),"")</f>
        <v>_FTI</v>
      </c>
      <c r="V39" s="13" t="str">
        <f>_xlfn.IFNA(VLOOKUP(Tabla3[[#This Row],[NUMERO]],SEÑAL[#All],2,0),"")</f>
        <v/>
      </c>
    </row>
    <row r="40" spans="1:22" x14ac:dyDescent="0.25">
      <c r="A40" s="25" t="s">
        <v>121</v>
      </c>
      <c r="B40" s="2" t="s">
        <v>8</v>
      </c>
      <c r="C40" s="2" t="s">
        <v>89</v>
      </c>
      <c r="D40" s="2" t="s">
        <v>106</v>
      </c>
      <c r="E40" s="2" t="s">
        <v>864</v>
      </c>
      <c r="G40" s="2" t="s">
        <v>349</v>
      </c>
      <c r="I40" t="s">
        <v>434</v>
      </c>
      <c r="J40"/>
      <c r="K40"/>
      <c r="L4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ETVMN.VM12.5051_DI</v>
      </c>
      <c r="N40" s="13" t="str">
        <f>VLOOKUP(Tabla3[[#This Row],[Tipo]],TIPO[#All],2,0)</f>
        <v>ET</v>
      </c>
      <c r="O40" s="13" t="str">
        <f>VLOOKUP(Tabla3[[#This Row],[Lugar]],LUGAR[#All],2,0)</f>
        <v>VMN</v>
      </c>
      <c r="P40" s="13" t="str">
        <f>Tabla3[[#This Row],[SIGLAS]]</f>
        <v>VM12</v>
      </c>
      <c r="Q40" s="13" t="str">
        <f>_xlfn.IFNA(VLOOKUP(Tabla3[[#This Row],[Nivel de tension]],NIVEL[#All],2,0),"")</f>
        <v/>
      </c>
      <c r="R40" s="13" t="str">
        <f>_xlfn.IFNA(VLOOKUP(Tabla3[[#This Row],[DISPOSITIVO]],DISPOSITIVO[],2,0),"")</f>
        <v>5051_</v>
      </c>
      <c r="S40" s="13" t="str">
        <f>_xlfn.IFNA(VLOOKUP(Tabla3[[#This Row],[PROTECCION SECUNDARIA]],PROTECCION_SECUNDARIA[],2,0),"")</f>
        <v/>
      </c>
      <c r="T40" s="13" t="str">
        <f>_xlfn.IFNA(VLOOKUP(Tabla3[[#This Row],[Que]],QUE[#All],2,0),"")</f>
        <v>DI</v>
      </c>
      <c r="U40" s="13" t="str">
        <f>_xlfn.IFNA(VLOOKUP(Tabla3[[#This Row],[Señal]],SEÑAL[#All],2,0),"")</f>
        <v/>
      </c>
      <c r="V40" s="13" t="str">
        <f>_xlfn.IFNA(VLOOKUP(Tabla3[[#This Row],[NUMERO]],SEÑAL[#All],2,0),"")</f>
        <v/>
      </c>
    </row>
    <row r="41" spans="1:22" x14ac:dyDescent="0.25">
      <c r="A41" s="25" t="s">
        <v>122</v>
      </c>
      <c r="B41" s="2" t="s">
        <v>8</v>
      </c>
      <c r="C41" s="2" t="s">
        <v>89</v>
      </c>
      <c r="D41" s="2" t="s">
        <v>106</v>
      </c>
      <c r="E41" s="2" t="s">
        <v>864</v>
      </c>
      <c r="G41" s="2" t="s">
        <v>352</v>
      </c>
      <c r="I41" t="s">
        <v>403</v>
      </c>
      <c r="J41" t="s">
        <v>611</v>
      </c>
      <c r="K41"/>
      <c r="L4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ETVMN.VM12.51_AR_R</v>
      </c>
      <c r="N41" s="13" t="str">
        <f>VLOOKUP(Tabla3[[#This Row],[Tipo]],TIPO[#All],2,0)</f>
        <v>ET</v>
      </c>
      <c r="O41" s="13" t="str">
        <f>VLOOKUP(Tabla3[[#This Row],[Lugar]],LUGAR[#All],2,0)</f>
        <v>VMN</v>
      </c>
      <c r="P41" s="13" t="str">
        <f>Tabla3[[#This Row],[SIGLAS]]</f>
        <v>VM12</v>
      </c>
      <c r="Q41" s="13" t="str">
        <f>_xlfn.IFNA(VLOOKUP(Tabla3[[#This Row],[Nivel de tension]],NIVEL[#All],2,0),"")</f>
        <v/>
      </c>
      <c r="R41" s="13" t="str">
        <f>_xlfn.IFNA(VLOOKUP(Tabla3[[#This Row],[DISPOSITIVO]],DISPOSITIVO[],2,0),"")</f>
        <v>51_</v>
      </c>
      <c r="S41" s="13" t="str">
        <f>_xlfn.IFNA(VLOOKUP(Tabla3[[#This Row],[PROTECCION SECUNDARIA]],PROTECCION_SECUNDARIA[],2,0),"")</f>
        <v/>
      </c>
      <c r="T41" s="13" t="str">
        <f>_xlfn.IFNA(VLOOKUP(Tabla3[[#This Row],[Que]],QUE[#All],2,0),"")</f>
        <v>AR</v>
      </c>
      <c r="U41" s="13" t="str">
        <f>_xlfn.IFNA(VLOOKUP(Tabla3[[#This Row],[Señal]],SEÑAL[#All],2,0),"")</f>
        <v>_R</v>
      </c>
      <c r="V41" s="13" t="str">
        <f>_xlfn.IFNA(VLOOKUP(Tabla3[[#This Row],[NUMERO]],SEÑAL[#All],2,0),"")</f>
        <v/>
      </c>
    </row>
    <row r="42" spans="1:22" x14ac:dyDescent="0.25">
      <c r="A42" s="25" t="s">
        <v>123</v>
      </c>
      <c r="B42" s="2" t="s">
        <v>8</v>
      </c>
      <c r="C42" s="2" t="s">
        <v>89</v>
      </c>
      <c r="D42" s="2" t="s">
        <v>106</v>
      </c>
      <c r="E42" s="2" t="s">
        <v>864</v>
      </c>
      <c r="G42" s="2" t="s">
        <v>352</v>
      </c>
      <c r="I42" t="s">
        <v>403</v>
      </c>
      <c r="J42" t="s">
        <v>634</v>
      </c>
      <c r="K42"/>
      <c r="L4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ETVMN.VM12.51_AR_S</v>
      </c>
      <c r="N42" s="13" t="str">
        <f>VLOOKUP(Tabla3[[#This Row],[Tipo]],TIPO[#All],2,0)</f>
        <v>ET</v>
      </c>
      <c r="O42" s="13" t="str">
        <f>VLOOKUP(Tabla3[[#This Row],[Lugar]],LUGAR[#All],2,0)</f>
        <v>VMN</v>
      </c>
      <c r="P42" s="13" t="str">
        <f>Tabla3[[#This Row],[SIGLAS]]</f>
        <v>VM12</v>
      </c>
      <c r="Q42" s="13" t="str">
        <f>_xlfn.IFNA(VLOOKUP(Tabla3[[#This Row],[Nivel de tension]],NIVEL[#All],2,0),"")</f>
        <v/>
      </c>
      <c r="R42" s="13" t="str">
        <f>_xlfn.IFNA(VLOOKUP(Tabla3[[#This Row],[DISPOSITIVO]],DISPOSITIVO[],2,0),"")</f>
        <v>51_</v>
      </c>
      <c r="S42" s="13" t="str">
        <f>_xlfn.IFNA(VLOOKUP(Tabla3[[#This Row],[PROTECCION SECUNDARIA]],PROTECCION_SECUNDARIA[],2,0),"")</f>
        <v/>
      </c>
      <c r="T42" s="13" t="str">
        <f>_xlfn.IFNA(VLOOKUP(Tabla3[[#This Row],[Que]],QUE[#All],2,0),"")</f>
        <v>AR</v>
      </c>
      <c r="U42" s="13" t="str">
        <f>_xlfn.IFNA(VLOOKUP(Tabla3[[#This Row],[Señal]],SEÑAL[#All],2,0),"")</f>
        <v>_S</v>
      </c>
      <c r="V42" s="13" t="str">
        <f>_xlfn.IFNA(VLOOKUP(Tabla3[[#This Row],[NUMERO]],SEÑAL[#All],2,0),"")</f>
        <v/>
      </c>
    </row>
    <row r="43" spans="1:22" x14ac:dyDescent="0.25">
      <c r="A43" s="25" t="s">
        <v>124</v>
      </c>
      <c r="B43" s="2" t="s">
        <v>8</v>
      </c>
      <c r="C43" s="2" t="s">
        <v>89</v>
      </c>
      <c r="D43" s="2" t="s">
        <v>106</v>
      </c>
      <c r="E43" s="2" t="s">
        <v>864</v>
      </c>
      <c r="G43" s="2" t="s">
        <v>352</v>
      </c>
      <c r="I43" t="s">
        <v>403</v>
      </c>
      <c r="J43" t="s">
        <v>647</v>
      </c>
      <c r="K43"/>
      <c r="L4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ETVMN.VM12.51_AR_T</v>
      </c>
      <c r="N43" s="13" t="str">
        <f>VLOOKUP(Tabla3[[#This Row],[Tipo]],TIPO[#All],2,0)</f>
        <v>ET</v>
      </c>
      <c r="O43" s="13" t="str">
        <f>VLOOKUP(Tabla3[[#This Row],[Lugar]],LUGAR[#All],2,0)</f>
        <v>VMN</v>
      </c>
      <c r="P43" s="13" t="str">
        <f>Tabla3[[#This Row],[SIGLAS]]</f>
        <v>VM12</v>
      </c>
      <c r="Q43" s="13" t="str">
        <f>_xlfn.IFNA(VLOOKUP(Tabla3[[#This Row],[Nivel de tension]],NIVEL[#All],2,0),"")</f>
        <v/>
      </c>
      <c r="R43" s="13" t="str">
        <f>_xlfn.IFNA(VLOOKUP(Tabla3[[#This Row],[DISPOSITIVO]],DISPOSITIVO[],2,0),"")</f>
        <v>51_</v>
      </c>
      <c r="S43" s="13" t="str">
        <f>_xlfn.IFNA(VLOOKUP(Tabla3[[#This Row],[PROTECCION SECUNDARIA]],PROTECCION_SECUNDARIA[],2,0),"")</f>
        <v/>
      </c>
      <c r="T43" s="13" t="str">
        <f>_xlfn.IFNA(VLOOKUP(Tabla3[[#This Row],[Que]],QUE[#All],2,0),"")</f>
        <v>AR</v>
      </c>
      <c r="U43" s="13" t="str">
        <f>_xlfn.IFNA(VLOOKUP(Tabla3[[#This Row],[Señal]],SEÑAL[#All],2,0),"")</f>
        <v>_T</v>
      </c>
      <c r="V43" s="13" t="str">
        <f>_xlfn.IFNA(VLOOKUP(Tabla3[[#This Row],[NUMERO]],SEÑAL[#All],2,0),"")</f>
        <v/>
      </c>
    </row>
    <row r="44" spans="1:22" x14ac:dyDescent="0.25">
      <c r="A44" s="25" t="s">
        <v>125</v>
      </c>
      <c r="B44" s="2" t="s">
        <v>8</v>
      </c>
      <c r="C44" s="2" t="s">
        <v>89</v>
      </c>
      <c r="D44" s="2" t="s">
        <v>106</v>
      </c>
      <c r="E44" s="2" t="s">
        <v>864</v>
      </c>
      <c r="G44" s="2" t="s">
        <v>353</v>
      </c>
      <c r="I44" t="s">
        <v>403</v>
      </c>
      <c r="J44"/>
      <c r="K44"/>
      <c r="L4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ETVMN.VM12.51N_AR</v>
      </c>
      <c r="N44" s="13" t="str">
        <f>VLOOKUP(Tabla3[[#This Row],[Tipo]],TIPO[#All],2,0)</f>
        <v>ET</v>
      </c>
      <c r="O44" s="13" t="str">
        <f>VLOOKUP(Tabla3[[#This Row],[Lugar]],LUGAR[#All],2,0)</f>
        <v>VMN</v>
      </c>
      <c r="P44" s="13" t="str">
        <f>Tabla3[[#This Row],[SIGLAS]]</f>
        <v>VM12</v>
      </c>
      <c r="Q44" s="13" t="str">
        <f>_xlfn.IFNA(VLOOKUP(Tabla3[[#This Row],[Nivel de tension]],NIVEL[#All],2,0),"")</f>
        <v/>
      </c>
      <c r="R44" s="13" t="str">
        <f>_xlfn.IFNA(VLOOKUP(Tabla3[[#This Row],[DISPOSITIVO]],DISPOSITIVO[],2,0),"")</f>
        <v>51N_</v>
      </c>
      <c r="S44" s="13" t="str">
        <f>_xlfn.IFNA(VLOOKUP(Tabla3[[#This Row],[PROTECCION SECUNDARIA]],PROTECCION_SECUNDARIA[],2,0),"")</f>
        <v/>
      </c>
      <c r="T44" s="13" t="str">
        <f>_xlfn.IFNA(VLOOKUP(Tabla3[[#This Row],[Que]],QUE[#All],2,0),"")</f>
        <v>AR</v>
      </c>
      <c r="U44" s="13" t="str">
        <f>_xlfn.IFNA(VLOOKUP(Tabla3[[#This Row],[Señal]],SEÑAL[#All],2,0),"")</f>
        <v/>
      </c>
      <c r="V44" s="13" t="str">
        <f>_xlfn.IFNA(VLOOKUP(Tabla3[[#This Row],[NUMERO]],SEÑAL[#All],2,0),"")</f>
        <v/>
      </c>
    </row>
    <row r="45" spans="1:22" x14ac:dyDescent="0.25">
      <c r="A45" s="25" t="s">
        <v>126</v>
      </c>
      <c r="B45" s="2" t="s">
        <v>8</v>
      </c>
      <c r="C45" s="2" t="s">
        <v>89</v>
      </c>
      <c r="D45" s="2" t="s">
        <v>106</v>
      </c>
      <c r="E45" s="2" t="s">
        <v>864</v>
      </c>
      <c r="G45" s="2" t="s">
        <v>348</v>
      </c>
      <c r="I45" t="s">
        <v>434</v>
      </c>
      <c r="J45"/>
      <c r="K45"/>
      <c r="L4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ETVMN.VM12.50_DI</v>
      </c>
      <c r="N45" s="13" t="str">
        <f>VLOOKUP(Tabla3[[#This Row],[Tipo]],TIPO[#All],2,0)</f>
        <v>ET</v>
      </c>
      <c r="O45" s="13" t="str">
        <f>VLOOKUP(Tabla3[[#This Row],[Lugar]],LUGAR[#All],2,0)</f>
        <v>VMN</v>
      </c>
      <c r="P45" s="13" t="str">
        <f>Tabla3[[#This Row],[SIGLAS]]</f>
        <v>VM12</v>
      </c>
      <c r="Q45" s="13" t="str">
        <f>_xlfn.IFNA(VLOOKUP(Tabla3[[#This Row],[Nivel de tension]],NIVEL[#All],2,0),"")</f>
        <v/>
      </c>
      <c r="R45" s="13" t="str">
        <f>_xlfn.IFNA(VLOOKUP(Tabla3[[#This Row],[DISPOSITIVO]],DISPOSITIVO[],2,0),"")</f>
        <v>50_</v>
      </c>
      <c r="S45" s="13" t="str">
        <f>_xlfn.IFNA(VLOOKUP(Tabla3[[#This Row],[PROTECCION SECUNDARIA]],PROTECCION_SECUNDARIA[],2,0),"")</f>
        <v/>
      </c>
      <c r="T45" s="13" t="str">
        <f>_xlfn.IFNA(VLOOKUP(Tabla3[[#This Row],[Que]],QUE[#All],2,0),"")</f>
        <v>DI</v>
      </c>
      <c r="U45" s="13" t="str">
        <f>_xlfn.IFNA(VLOOKUP(Tabla3[[#This Row],[Señal]],SEÑAL[#All],2,0),"")</f>
        <v/>
      </c>
      <c r="V45" s="13" t="str">
        <f>_xlfn.IFNA(VLOOKUP(Tabla3[[#This Row],[NUMERO]],SEÑAL[#All],2,0),"")</f>
        <v/>
      </c>
    </row>
    <row r="46" spans="1:22" x14ac:dyDescent="0.25">
      <c r="A46" s="25" t="s">
        <v>127</v>
      </c>
      <c r="B46" s="2" t="s">
        <v>8</v>
      </c>
      <c r="C46" s="2" t="s">
        <v>89</v>
      </c>
      <c r="D46" s="2" t="s">
        <v>106</v>
      </c>
      <c r="E46" s="2" t="s">
        <v>864</v>
      </c>
      <c r="G46" s="2" t="s">
        <v>352</v>
      </c>
      <c r="I46" t="s">
        <v>403</v>
      </c>
      <c r="J46"/>
      <c r="K46"/>
      <c r="L4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ETVMN.VM12.51_AR</v>
      </c>
      <c r="N46" s="13" t="str">
        <f>VLOOKUP(Tabla3[[#This Row],[Tipo]],TIPO[#All],2,0)</f>
        <v>ET</v>
      </c>
      <c r="O46" s="13" t="str">
        <f>VLOOKUP(Tabla3[[#This Row],[Lugar]],LUGAR[#All],2,0)</f>
        <v>VMN</v>
      </c>
      <c r="P46" s="13" t="str">
        <f>Tabla3[[#This Row],[SIGLAS]]</f>
        <v>VM12</v>
      </c>
      <c r="Q46" s="13" t="str">
        <f>_xlfn.IFNA(VLOOKUP(Tabla3[[#This Row],[Nivel de tension]],NIVEL[#All],2,0),"")</f>
        <v/>
      </c>
      <c r="R46" s="13" t="str">
        <f>_xlfn.IFNA(VLOOKUP(Tabla3[[#This Row],[DISPOSITIVO]],DISPOSITIVO[],2,0),"")</f>
        <v>51_</v>
      </c>
      <c r="S46" s="13" t="str">
        <f>_xlfn.IFNA(VLOOKUP(Tabla3[[#This Row],[PROTECCION SECUNDARIA]],PROTECCION_SECUNDARIA[],2,0),"")</f>
        <v/>
      </c>
      <c r="T46" s="13" t="str">
        <f>_xlfn.IFNA(VLOOKUP(Tabla3[[#This Row],[Que]],QUE[#All],2,0),"")</f>
        <v>AR</v>
      </c>
      <c r="U46" s="13" t="str">
        <f>_xlfn.IFNA(VLOOKUP(Tabla3[[#This Row],[Señal]],SEÑAL[#All],2,0),"")</f>
        <v/>
      </c>
      <c r="V46" s="13" t="str">
        <f>_xlfn.IFNA(VLOOKUP(Tabla3[[#This Row],[NUMERO]],SEÑAL[#All],2,0),"")</f>
        <v/>
      </c>
    </row>
    <row r="47" spans="1:22" x14ac:dyDescent="0.25">
      <c r="A47" s="25" t="s">
        <v>128</v>
      </c>
      <c r="B47" s="2" t="s">
        <v>8</v>
      </c>
      <c r="C47" s="2" t="s">
        <v>89</v>
      </c>
      <c r="D47" s="2" t="s">
        <v>106</v>
      </c>
      <c r="E47" s="2" t="s">
        <v>864</v>
      </c>
      <c r="G47" s="2" t="s">
        <v>352</v>
      </c>
      <c r="I47" t="s">
        <v>434</v>
      </c>
      <c r="J47"/>
      <c r="K47"/>
      <c r="L4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ETVMN.VM12.51_DI</v>
      </c>
      <c r="N47" s="13" t="str">
        <f>VLOOKUP(Tabla3[[#This Row],[Tipo]],TIPO[#All],2,0)</f>
        <v>ET</v>
      </c>
      <c r="O47" s="13" t="str">
        <f>VLOOKUP(Tabla3[[#This Row],[Lugar]],LUGAR[#All],2,0)</f>
        <v>VMN</v>
      </c>
      <c r="P47" s="13" t="str">
        <f>Tabla3[[#This Row],[SIGLAS]]</f>
        <v>VM12</v>
      </c>
      <c r="Q47" s="13" t="str">
        <f>_xlfn.IFNA(VLOOKUP(Tabla3[[#This Row],[Nivel de tension]],NIVEL[#All],2,0),"")</f>
        <v/>
      </c>
      <c r="R47" s="13" t="str">
        <f>_xlfn.IFNA(VLOOKUP(Tabla3[[#This Row],[DISPOSITIVO]],DISPOSITIVO[],2,0),"")</f>
        <v>51_</v>
      </c>
      <c r="S47" s="13" t="str">
        <f>_xlfn.IFNA(VLOOKUP(Tabla3[[#This Row],[PROTECCION SECUNDARIA]],PROTECCION_SECUNDARIA[],2,0),"")</f>
        <v/>
      </c>
      <c r="T47" s="13" t="str">
        <f>_xlfn.IFNA(VLOOKUP(Tabla3[[#This Row],[Que]],QUE[#All],2,0),"")</f>
        <v>DI</v>
      </c>
      <c r="U47" s="13" t="str">
        <f>_xlfn.IFNA(VLOOKUP(Tabla3[[#This Row],[Señal]],SEÑAL[#All],2,0),"")</f>
        <v/>
      </c>
      <c r="V47" s="13" t="str">
        <f>_xlfn.IFNA(VLOOKUP(Tabla3[[#This Row],[NUMERO]],SEÑAL[#All],2,0),"")</f>
        <v/>
      </c>
    </row>
    <row r="48" spans="1:22" x14ac:dyDescent="0.25">
      <c r="A48" s="25" t="s">
        <v>129</v>
      </c>
      <c r="B48" s="2" t="s">
        <v>8</v>
      </c>
      <c r="C48" s="2" t="s">
        <v>89</v>
      </c>
      <c r="D48" s="2" t="s">
        <v>106</v>
      </c>
      <c r="E48" s="2" t="s">
        <v>864</v>
      </c>
      <c r="G48" s="2" t="s">
        <v>351</v>
      </c>
      <c r="I48" t="s">
        <v>434</v>
      </c>
      <c r="J48"/>
      <c r="K48"/>
      <c r="L4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ETVMN.VM12.50N_DI</v>
      </c>
      <c r="N48" s="13" t="str">
        <f>VLOOKUP(Tabla3[[#This Row],[Tipo]],TIPO[#All],2,0)</f>
        <v>ET</v>
      </c>
      <c r="O48" s="13" t="str">
        <f>VLOOKUP(Tabla3[[#This Row],[Lugar]],LUGAR[#All],2,0)</f>
        <v>VMN</v>
      </c>
      <c r="P48" s="13" t="str">
        <f>Tabla3[[#This Row],[SIGLAS]]</f>
        <v>VM12</v>
      </c>
      <c r="Q48" s="13" t="str">
        <f>_xlfn.IFNA(VLOOKUP(Tabla3[[#This Row],[Nivel de tension]],NIVEL[#All],2,0),"")</f>
        <v/>
      </c>
      <c r="R48" s="13" t="str">
        <f>_xlfn.IFNA(VLOOKUP(Tabla3[[#This Row],[DISPOSITIVO]],DISPOSITIVO[],2,0),"")</f>
        <v>50N_</v>
      </c>
      <c r="S48" s="13" t="str">
        <f>_xlfn.IFNA(VLOOKUP(Tabla3[[#This Row],[PROTECCION SECUNDARIA]],PROTECCION_SECUNDARIA[],2,0),"")</f>
        <v/>
      </c>
      <c r="T48" s="13" t="str">
        <f>_xlfn.IFNA(VLOOKUP(Tabla3[[#This Row],[Que]],QUE[#All],2,0),"")</f>
        <v>DI</v>
      </c>
      <c r="U48" s="13" t="str">
        <f>_xlfn.IFNA(VLOOKUP(Tabla3[[#This Row],[Señal]],SEÑAL[#All],2,0),"")</f>
        <v/>
      </c>
      <c r="V48" s="13" t="str">
        <f>_xlfn.IFNA(VLOOKUP(Tabla3[[#This Row],[NUMERO]],SEÑAL[#All],2,0),"")</f>
        <v/>
      </c>
    </row>
    <row r="49" spans="1:22" x14ac:dyDescent="0.25">
      <c r="A49" s="25" t="s">
        <v>130</v>
      </c>
      <c r="B49" s="2" t="s">
        <v>8</v>
      </c>
      <c r="C49" s="2" t="s">
        <v>89</v>
      </c>
      <c r="D49" s="2" t="s">
        <v>106</v>
      </c>
      <c r="E49" s="2" t="s">
        <v>864</v>
      </c>
      <c r="G49" s="2" t="s">
        <v>353</v>
      </c>
      <c r="I49" t="s">
        <v>403</v>
      </c>
      <c r="J49"/>
      <c r="K49"/>
      <c r="L4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ETVMN.VM12.51N_AR</v>
      </c>
      <c r="N49" s="13" t="str">
        <f>VLOOKUP(Tabla3[[#This Row],[Tipo]],TIPO[#All],2,0)</f>
        <v>ET</v>
      </c>
      <c r="O49" s="13" t="str">
        <f>VLOOKUP(Tabla3[[#This Row],[Lugar]],LUGAR[#All],2,0)</f>
        <v>VMN</v>
      </c>
      <c r="P49" s="13" t="str">
        <f>Tabla3[[#This Row],[SIGLAS]]</f>
        <v>VM12</v>
      </c>
      <c r="Q49" s="13" t="str">
        <f>_xlfn.IFNA(VLOOKUP(Tabla3[[#This Row],[Nivel de tension]],NIVEL[#All],2,0),"")</f>
        <v/>
      </c>
      <c r="R49" s="13" t="str">
        <f>_xlfn.IFNA(VLOOKUP(Tabla3[[#This Row],[DISPOSITIVO]],DISPOSITIVO[],2,0),"")</f>
        <v>51N_</v>
      </c>
      <c r="S49" s="13" t="str">
        <f>_xlfn.IFNA(VLOOKUP(Tabla3[[#This Row],[PROTECCION SECUNDARIA]],PROTECCION_SECUNDARIA[],2,0),"")</f>
        <v/>
      </c>
      <c r="T49" s="13" t="str">
        <f>_xlfn.IFNA(VLOOKUP(Tabla3[[#This Row],[Que]],QUE[#All],2,0),"")</f>
        <v>AR</v>
      </c>
      <c r="U49" s="13" t="str">
        <f>_xlfn.IFNA(VLOOKUP(Tabla3[[#This Row],[Señal]],SEÑAL[#All],2,0),"")</f>
        <v/>
      </c>
      <c r="V49" s="13" t="str">
        <f>_xlfn.IFNA(VLOOKUP(Tabla3[[#This Row],[NUMERO]],SEÑAL[#All],2,0),"")</f>
        <v/>
      </c>
    </row>
    <row r="50" spans="1:22" x14ac:dyDescent="0.25">
      <c r="A50" s="25" t="s">
        <v>131</v>
      </c>
      <c r="B50" s="2" t="s">
        <v>8</v>
      </c>
      <c r="C50" s="2" t="s">
        <v>89</v>
      </c>
      <c r="D50" s="2" t="s">
        <v>106</v>
      </c>
      <c r="E50" s="2" t="s">
        <v>864</v>
      </c>
      <c r="G50" s="2" t="s">
        <v>353</v>
      </c>
      <c r="I50" t="s">
        <v>434</v>
      </c>
      <c r="J50"/>
      <c r="K50"/>
      <c r="L5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ETVMN.VM12.51N_DI</v>
      </c>
      <c r="N50" s="13" t="str">
        <f>VLOOKUP(Tabla3[[#This Row],[Tipo]],TIPO[#All],2,0)</f>
        <v>ET</v>
      </c>
      <c r="O50" s="13" t="str">
        <f>VLOOKUP(Tabla3[[#This Row],[Lugar]],LUGAR[#All],2,0)</f>
        <v>VMN</v>
      </c>
      <c r="P50" s="13" t="str">
        <f>Tabla3[[#This Row],[SIGLAS]]</f>
        <v>VM12</v>
      </c>
      <c r="Q50" s="13" t="str">
        <f>_xlfn.IFNA(VLOOKUP(Tabla3[[#This Row],[Nivel de tension]],NIVEL[#All],2,0),"")</f>
        <v/>
      </c>
      <c r="R50" s="13" t="str">
        <f>_xlfn.IFNA(VLOOKUP(Tabla3[[#This Row],[DISPOSITIVO]],DISPOSITIVO[],2,0),"")</f>
        <v>51N_</v>
      </c>
      <c r="S50" s="13" t="str">
        <f>_xlfn.IFNA(VLOOKUP(Tabla3[[#This Row],[PROTECCION SECUNDARIA]],PROTECCION_SECUNDARIA[],2,0),"")</f>
        <v/>
      </c>
      <c r="T50" s="13" t="str">
        <f>_xlfn.IFNA(VLOOKUP(Tabla3[[#This Row],[Que]],QUE[#All],2,0),"")</f>
        <v>DI</v>
      </c>
      <c r="U50" s="13" t="str">
        <f>_xlfn.IFNA(VLOOKUP(Tabla3[[#This Row],[Señal]],SEÑAL[#All],2,0),"")</f>
        <v/>
      </c>
      <c r="V50" s="13" t="str">
        <f>_xlfn.IFNA(VLOOKUP(Tabla3[[#This Row],[NUMERO]],SEÑAL[#All],2,0),"")</f>
        <v/>
      </c>
    </row>
    <row r="51" spans="1:22" x14ac:dyDescent="0.25">
      <c r="A51" s="25" t="s">
        <v>132</v>
      </c>
      <c r="B51" s="2" t="s">
        <v>8</v>
      </c>
      <c r="C51" s="2" t="s">
        <v>89</v>
      </c>
      <c r="D51" s="2" t="s">
        <v>106</v>
      </c>
      <c r="E51" s="2" t="s">
        <v>864</v>
      </c>
      <c r="G51" s="2" t="s">
        <v>852</v>
      </c>
      <c r="I51" t="s">
        <v>2</v>
      </c>
      <c r="J51" t="s">
        <v>438</v>
      </c>
      <c r="K51"/>
      <c r="L5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ETVMN.VM12.51-79_EST</v>
      </c>
      <c r="N51" s="13" t="str">
        <f>VLOOKUP(Tabla3[[#This Row],[Tipo]],TIPO[#All],2,0)</f>
        <v>ET</v>
      </c>
      <c r="O51" s="13" t="str">
        <f>VLOOKUP(Tabla3[[#This Row],[Lugar]],LUGAR[#All],2,0)</f>
        <v>VMN</v>
      </c>
      <c r="P51" s="13" t="str">
        <f>Tabla3[[#This Row],[SIGLAS]]</f>
        <v>VM12</v>
      </c>
      <c r="Q51" s="13" t="str">
        <f>_xlfn.IFNA(VLOOKUP(Tabla3[[#This Row],[Nivel de tension]],NIVEL[#All],2,0),"")</f>
        <v/>
      </c>
      <c r="R51" s="13" t="str">
        <f>_xlfn.IFNA(VLOOKUP(Tabla3[[#This Row],[DISPOSITIVO]],DISPOSITIVO[],2,0),"")</f>
        <v>51-</v>
      </c>
      <c r="S51" s="13" t="str">
        <f>_xlfn.IFNA(VLOOKUP(Tabla3[[#This Row],[PROTECCION SECUNDARIA]],PROTECCION_SECUNDARIA[],2,0),"")</f>
        <v/>
      </c>
      <c r="T51" s="13" t="str">
        <f>_xlfn.IFNA(VLOOKUP(Tabla3[[#This Row],[Que]],QUE[#All],2,0),"")</f>
        <v>79</v>
      </c>
      <c r="U51" s="13" t="str">
        <f>_xlfn.IFNA(VLOOKUP(Tabla3[[#This Row],[Señal]],SEÑAL[#All],2,0),"")</f>
        <v>_EST</v>
      </c>
      <c r="V51" s="13" t="str">
        <f>_xlfn.IFNA(VLOOKUP(Tabla3[[#This Row],[NUMERO]],SEÑAL[#All],2,0),"")</f>
        <v/>
      </c>
    </row>
    <row r="52" spans="1:22" x14ac:dyDescent="0.25">
      <c r="A52" s="25" t="s">
        <v>133</v>
      </c>
      <c r="B52" s="2" t="s">
        <v>8</v>
      </c>
      <c r="C52" s="2" t="s">
        <v>89</v>
      </c>
      <c r="D52" s="2" t="s">
        <v>106</v>
      </c>
      <c r="E52" s="2" t="s">
        <v>864</v>
      </c>
      <c r="G52" s="2" t="s">
        <v>852</v>
      </c>
      <c r="I52" t="s">
        <v>2</v>
      </c>
      <c r="J52" t="s">
        <v>587</v>
      </c>
      <c r="K52"/>
      <c r="L5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ETVMN.VM12.51-79_INI</v>
      </c>
      <c r="N52" s="13" t="str">
        <f>VLOOKUP(Tabla3[[#This Row],[Tipo]],TIPO[#All],2,0)</f>
        <v>ET</v>
      </c>
      <c r="O52" s="13" t="str">
        <f>VLOOKUP(Tabla3[[#This Row],[Lugar]],LUGAR[#All],2,0)</f>
        <v>VMN</v>
      </c>
      <c r="P52" s="13" t="str">
        <f>Tabla3[[#This Row],[SIGLAS]]</f>
        <v>VM12</v>
      </c>
      <c r="Q52" s="13" t="str">
        <f>_xlfn.IFNA(VLOOKUP(Tabla3[[#This Row],[Nivel de tension]],NIVEL[#All],2,0),"")</f>
        <v/>
      </c>
      <c r="R52" s="13" t="str">
        <f>_xlfn.IFNA(VLOOKUP(Tabla3[[#This Row],[DISPOSITIVO]],DISPOSITIVO[],2,0),"")</f>
        <v>51-</v>
      </c>
      <c r="S52" s="13" t="str">
        <f>_xlfn.IFNA(VLOOKUP(Tabla3[[#This Row],[PROTECCION SECUNDARIA]],PROTECCION_SECUNDARIA[],2,0),"")</f>
        <v/>
      </c>
      <c r="T52" s="13" t="str">
        <f>_xlfn.IFNA(VLOOKUP(Tabla3[[#This Row],[Que]],QUE[#All],2,0),"")</f>
        <v>79</v>
      </c>
      <c r="U52" s="13" t="str">
        <f>_xlfn.IFNA(VLOOKUP(Tabla3[[#This Row],[Señal]],SEÑAL[#All],2,0),"")</f>
        <v>_INI</v>
      </c>
      <c r="V52" s="13" t="str">
        <f>_xlfn.IFNA(VLOOKUP(Tabla3[[#This Row],[NUMERO]],SEÑAL[#All],2,0),"")</f>
        <v/>
      </c>
    </row>
    <row r="53" spans="1:22" x14ac:dyDescent="0.25">
      <c r="A53" s="25" t="s">
        <v>134</v>
      </c>
      <c r="B53" s="2" t="s">
        <v>8</v>
      </c>
      <c r="C53" s="2" t="s">
        <v>89</v>
      </c>
      <c r="D53" s="2" t="s">
        <v>106</v>
      </c>
      <c r="E53" s="2" t="s">
        <v>864</v>
      </c>
      <c r="G53" s="2" t="s">
        <v>852</v>
      </c>
      <c r="I53" t="s">
        <v>2</v>
      </c>
      <c r="J53" t="s">
        <v>568</v>
      </c>
      <c r="K53"/>
      <c r="L5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ETVMN.VM12.51-79_EX</v>
      </c>
      <c r="N53" s="13" t="str">
        <f>VLOOKUP(Tabla3[[#This Row],[Tipo]],TIPO[#All],2,0)</f>
        <v>ET</v>
      </c>
      <c r="O53" s="13" t="str">
        <f>VLOOKUP(Tabla3[[#This Row],[Lugar]],LUGAR[#All],2,0)</f>
        <v>VMN</v>
      </c>
      <c r="P53" s="13" t="str">
        <f>Tabla3[[#This Row],[SIGLAS]]</f>
        <v>VM12</v>
      </c>
      <c r="Q53" s="13" t="str">
        <f>_xlfn.IFNA(VLOOKUP(Tabla3[[#This Row],[Nivel de tension]],NIVEL[#All],2,0),"")</f>
        <v/>
      </c>
      <c r="R53" s="13" t="str">
        <f>_xlfn.IFNA(VLOOKUP(Tabla3[[#This Row],[DISPOSITIVO]],DISPOSITIVO[],2,0),"")</f>
        <v>51-</v>
      </c>
      <c r="S53" s="13" t="str">
        <f>_xlfn.IFNA(VLOOKUP(Tabla3[[#This Row],[PROTECCION SECUNDARIA]],PROTECCION_SECUNDARIA[],2,0),"")</f>
        <v/>
      </c>
      <c r="T53" s="13" t="str">
        <f>_xlfn.IFNA(VLOOKUP(Tabla3[[#This Row],[Que]],QUE[#All],2,0),"")</f>
        <v>79</v>
      </c>
      <c r="U53" s="13" t="str">
        <f>_xlfn.IFNA(VLOOKUP(Tabla3[[#This Row],[Señal]],SEÑAL[#All],2,0),"")</f>
        <v>_EX</v>
      </c>
      <c r="V53" s="13" t="str">
        <f>_xlfn.IFNA(VLOOKUP(Tabla3[[#This Row],[NUMERO]],SEÑAL[#All],2,0),"")</f>
        <v/>
      </c>
    </row>
    <row r="54" spans="1:22" x14ac:dyDescent="0.25">
      <c r="A54" s="25" t="s">
        <v>135</v>
      </c>
      <c r="B54" s="2" t="s">
        <v>8</v>
      </c>
      <c r="C54" s="2" t="s">
        <v>89</v>
      </c>
      <c r="D54" s="2" t="s">
        <v>106</v>
      </c>
      <c r="E54" s="2" t="s">
        <v>864</v>
      </c>
      <c r="G54" s="2" t="s">
        <v>852</v>
      </c>
      <c r="I54" t="s">
        <v>2</v>
      </c>
      <c r="J54" t="s">
        <v>561</v>
      </c>
      <c r="K54"/>
      <c r="L5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ETVMN.VM12.51-79_DIDEF</v>
      </c>
      <c r="N54" s="13" t="str">
        <f>VLOOKUP(Tabla3[[#This Row],[Tipo]],TIPO[#All],2,0)</f>
        <v>ET</v>
      </c>
      <c r="O54" s="13" t="str">
        <f>VLOOKUP(Tabla3[[#This Row],[Lugar]],LUGAR[#All],2,0)</f>
        <v>VMN</v>
      </c>
      <c r="P54" s="13" t="str">
        <f>Tabla3[[#This Row],[SIGLAS]]</f>
        <v>VM12</v>
      </c>
      <c r="Q54" s="13" t="str">
        <f>_xlfn.IFNA(VLOOKUP(Tabla3[[#This Row],[Nivel de tension]],NIVEL[#All],2,0),"")</f>
        <v/>
      </c>
      <c r="R54" s="13" t="str">
        <f>_xlfn.IFNA(VLOOKUP(Tabla3[[#This Row],[DISPOSITIVO]],DISPOSITIVO[],2,0),"")</f>
        <v>51-</v>
      </c>
      <c r="S54" s="13" t="str">
        <f>_xlfn.IFNA(VLOOKUP(Tabla3[[#This Row],[PROTECCION SECUNDARIA]],PROTECCION_SECUNDARIA[],2,0),"")</f>
        <v/>
      </c>
      <c r="T54" s="13" t="str">
        <f>_xlfn.IFNA(VLOOKUP(Tabla3[[#This Row],[Que]],QUE[#All],2,0),"")</f>
        <v>79</v>
      </c>
      <c r="U54" s="13" t="str">
        <f>_xlfn.IFNA(VLOOKUP(Tabla3[[#This Row],[Señal]],SEÑAL[#All],2,0),"")</f>
        <v>_DIDEF</v>
      </c>
      <c r="V54" s="13" t="str">
        <f>_xlfn.IFNA(VLOOKUP(Tabla3[[#This Row],[NUMERO]],SEÑAL[#All],2,0),"")</f>
        <v/>
      </c>
    </row>
    <row r="55" spans="1:22" x14ac:dyDescent="0.25">
      <c r="A55" s="25" t="s">
        <v>136</v>
      </c>
      <c r="B55" s="2" t="s">
        <v>8</v>
      </c>
      <c r="C55" s="2" t="s">
        <v>89</v>
      </c>
      <c r="D55" s="2" t="s">
        <v>106</v>
      </c>
      <c r="E55" s="2" t="s">
        <v>864</v>
      </c>
      <c r="G55" s="2" t="s">
        <v>852</v>
      </c>
      <c r="I55" t="s">
        <v>2</v>
      </c>
      <c r="J55" t="s">
        <v>427</v>
      </c>
      <c r="K55"/>
      <c r="L5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ETVMN.VM12.51-79_CIMAN</v>
      </c>
      <c r="N55" s="13" t="str">
        <f>VLOOKUP(Tabla3[[#This Row],[Tipo]],TIPO[#All],2,0)</f>
        <v>ET</v>
      </c>
      <c r="O55" s="13" t="str">
        <f>VLOOKUP(Tabla3[[#This Row],[Lugar]],LUGAR[#All],2,0)</f>
        <v>VMN</v>
      </c>
      <c r="P55" s="13" t="str">
        <f>Tabla3[[#This Row],[SIGLAS]]</f>
        <v>VM12</v>
      </c>
      <c r="Q55" s="13" t="str">
        <f>_xlfn.IFNA(VLOOKUP(Tabla3[[#This Row],[Nivel de tension]],NIVEL[#All],2,0),"")</f>
        <v/>
      </c>
      <c r="R55" s="13" t="str">
        <f>_xlfn.IFNA(VLOOKUP(Tabla3[[#This Row],[DISPOSITIVO]],DISPOSITIVO[],2,0),"")</f>
        <v>51-</v>
      </c>
      <c r="S55" s="13" t="str">
        <f>_xlfn.IFNA(VLOOKUP(Tabla3[[#This Row],[PROTECCION SECUNDARIA]],PROTECCION_SECUNDARIA[],2,0),"")</f>
        <v/>
      </c>
      <c r="T55" s="13" t="str">
        <f>_xlfn.IFNA(VLOOKUP(Tabla3[[#This Row],[Que]],QUE[#All],2,0),"")</f>
        <v>79</v>
      </c>
      <c r="U55" s="13" t="str">
        <f>_xlfn.IFNA(VLOOKUP(Tabla3[[#This Row],[Señal]],SEÑAL[#All],2,0),"")</f>
        <v>_CIMAN</v>
      </c>
      <c r="V55" s="13" t="str">
        <f>_xlfn.IFNA(VLOOKUP(Tabla3[[#This Row],[NUMERO]],SEÑAL[#All],2,0),"")</f>
        <v/>
      </c>
    </row>
    <row r="56" spans="1:22" x14ac:dyDescent="0.25">
      <c r="A56" s="25" t="s">
        <v>137</v>
      </c>
      <c r="B56" s="2" t="s">
        <v>8</v>
      </c>
      <c r="C56" s="2" t="s">
        <v>89</v>
      </c>
      <c r="D56" s="2" t="s">
        <v>106</v>
      </c>
      <c r="E56" s="2" t="s">
        <v>864</v>
      </c>
      <c r="G56" s="2" t="s">
        <v>852</v>
      </c>
      <c r="I56" t="s">
        <v>2</v>
      </c>
      <c r="J56" t="s">
        <v>27</v>
      </c>
      <c r="K56"/>
      <c r="L5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ETVMN.VM12.51-79_LISTO</v>
      </c>
      <c r="N56" s="13" t="str">
        <f>VLOOKUP(Tabla3[[#This Row],[Tipo]],TIPO[#All],2,0)</f>
        <v>ET</v>
      </c>
      <c r="O56" s="13" t="str">
        <f>VLOOKUP(Tabla3[[#This Row],[Lugar]],LUGAR[#All],2,0)</f>
        <v>VMN</v>
      </c>
      <c r="P56" s="13" t="str">
        <f>Tabla3[[#This Row],[SIGLAS]]</f>
        <v>VM12</v>
      </c>
      <c r="Q56" s="13" t="str">
        <f>_xlfn.IFNA(VLOOKUP(Tabla3[[#This Row],[Nivel de tension]],NIVEL[#All],2,0),"")</f>
        <v/>
      </c>
      <c r="R56" s="13" t="str">
        <f>_xlfn.IFNA(VLOOKUP(Tabla3[[#This Row],[DISPOSITIVO]],DISPOSITIVO[],2,0),"")</f>
        <v>51-</v>
      </c>
      <c r="S56" s="13" t="str">
        <f>_xlfn.IFNA(VLOOKUP(Tabla3[[#This Row],[PROTECCION SECUNDARIA]],PROTECCION_SECUNDARIA[],2,0),"")</f>
        <v/>
      </c>
      <c r="T56" s="13" t="str">
        <f>_xlfn.IFNA(VLOOKUP(Tabla3[[#This Row],[Que]],QUE[#All],2,0),"")</f>
        <v>79</v>
      </c>
      <c r="U56" s="13" t="str">
        <f>_xlfn.IFNA(VLOOKUP(Tabla3[[#This Row],[Señal]],SEÑAL[#All],2,0),"")</f>
        <v>_LISTO</v>
      </c>
      <c r="V56" s="13" t="str">
        <f>_xlfn.IFNA(VLOOKUP(Tabla3[[#This Row],[NUMERO]],SEÑAL[#All],2,0),"")</f>
        <v/>
      </c>
    </row>
    <row r="57" spans="1:22" x14ac:dyDescent="0.25">
      <c r="A57" s="25" t="s">
        <v>138</v>
      </c>
      <c r="B57" s="2" t="s">
        <v>8</v>
      </c>
      <c r="C57" s="2" t="s">
        <v>89</v>
      </c>
      <c r="D57" s="2" t="s">
        <v>106</v>
      </c>
      <c r="E57" s="2" t="s">
        <v>864</v>
      </c>
      <c r="G57" s="2" t="s">
        <v>29</v>
      </c>
      <c r="I57" t="s">
        <v>438</v>
      </c>
      <c r="J57"/>
      <c r="K57"/>
      <c r="L5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ETVMN.VM12.52_EST</v>
      </c>
      <c r="N57" s="13" t="str">
        <f>VLOOKUP(Tabla3[[#This Row],[Tipo]],TIPO[#All],2,0)</f>
        <v>ET</v>
      </c>
      <c r="O57" s="13" t="str">
        <f>VLOOKUP(Tabla3[[#This Row],[Lugar]],LUGAR[#All],2,0)</f>
        <v>VMN</v>
      </c>
      <c r="P57" s="13" t="str">
        <f>Tabla3[[#This Row],[SIGLAS]]</f>
        <v>VM12</v>
      </c>
      <c r="Q57" s="13" t="str">
        <f>_xlfn.IFNA(VLOOKUP(Tabla3[[#This Row],[Nivel de tension]],NIVEL[#All],2,0),"")</f>
        <v/>
      </c>
      <c r="R57" s="13" t="str">
        <f>_xlfn.IFNA(VLOOKUP(Tabla3[[#This Row],[DISPOSITIVO]],DISPOSITIVO[],2,0),"")</f>
        <v>52_</v>
      </c>
      <c r="S57" s="13" t="str">
        <f>_xlfn.IFNA(VLOOKUP(Tabla3[[#This Row],[PROTECCION SECUNDARIA]],PROTECCION_SECUNDARIA[],2,0),"")</f>
        <v/>
      </c>
      <c r="T57" s="13" t="str">
        <f>_xlfn.IFNA(VLOOKUP(Tabla3[[#This Row],[Que]],QUE[#All],2,0),"")</f>
        <v>EST</v>
      </c>
      <c r="U57" s="13" t="str">
        <f>_xlfn.IFNA(VLOOKUP(Tabla3[[#This Row],[Señal]],SEÑAL[#All],2,0),"")</f>
        <v/>
      </c>
      <c r="V57" s="13" t="str">
        <f>_xlfn.IFNA(VLOOKUP(Tabla3[[#This Row],[NUMERO]],SEÑAL[#All],2,0),"")</f>
        <v/>
      </c>
    </row>
    <row r="58" spans="1:22" x14ac:dyDescent="0.25">
      <c r="A58" s="25" t="s">
        <v>139</v>
      </c>
      <c r="B58" s="2" t="s">
        <v>8</v>
      </c>
      <c r="C58" s="2" t="s">
        <v>89</v>
      </c>
      <c r="D58" s="2" t="s">
        <v>106</v>
      </c>
      <c r="E58" s="2" t="s">
        <v>864</v>
      </c>
      <c r="G58" s="2" t="s">
        <v>842</v>
      </c>
      <c r="I58" t="s">
        <v>438</v>
      </c>
      <c r="J58"/>
      <c r="K58"/>
      <c r="L5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ETVMN.VM12.89L_EST</v>
      </c>
      <c r="N58" s="13" t="str">
        <f>VLOOKUP(Tabla3[[#This Row],[Tipo]],TIPO[#All],2,0)</f>
        <v>ET</v>
      </c>
      <c r="O58" s="13" t="str">
        <f>VLOOKUP(Tabla3[[#This Row],[Lugar]],LUGAR[#All],2,0)</f>
        <v>VMN</v>
      </c>
      <c r="P58" s="13" t="str">
        <f>Tabla3[[#This Row],[SIGLAS]]</f>
        <v>VM12</v>
      </c>
      <c r="Q58" s="13" t="str">
        <f>_xlfn.IFNA(VLOOKUP(Tabla3[[#This Row],[Nivel de tension]],NIVEL[#All],2,0),"")</f>
        <v/>
      </c>
      <c r="R58" s="13" t="str">
        <f>_xlfn.IFNA(VLOOKUP(Tabla3[[#This Row],[DISPOSITIVO]],DISPOSITIVO[],2,0),"")</f>
        <v>89L_</v>
      </c>
      <c r="S58" s="13" t="str">
        <f>_xlfn.IFNA(VLOOKUP(Tabla3[[#This Row],[PROTECCION SECUNDARIA]],PROTECCION_SECUNDARIA[],2,0),"")</f>
        <v/>
      </c>
      <c r="T58" s="13" t="str">
        <f>_xlfn.IFNA(VLOOKUP(Tabla3[[#This Row],[Que]],QUE[#All],2,0),"")</f>
        <v>EST</v>
      </c>
      <c r="U58" s="13" t="str">
        <f>_xlfn.IFNA(VLOOKUP(Tabla3[[#This Row],[Señal]],SEÑAL[#All],2,0),"")</f>
        <v/>
      </c>
      <c r="V58" s="13" t="str">
        <f>_xlfn.IFNA(VLOOKUP(Tabla3[[#This Row],[NUMERO]],SEÑAL[#All],2,0),"")</f>
        <v/>
      </c>
    </row>
    <row r="59" spans="1:22" x14ac:dyDescent="0.25">
      <c r="A59" s="25" t="s">
        <v>140</v>
      </c>
      <c r="B59" s="2" t="s">
        <v>8</v>
      </c>
      <c r="C59" s="2" t="s">
        <v>89</v>
      </c>
      <c r="D59" s="2" t="s">
        <v>106</v>
      </c>
      <c r="E59" s="2" t="s">
        <v>864</v>
      </c>
      <c r="G59" s="2" t="s">
        <v>162</v>
      </c>
      <c r="I59" t="s">
        <v>438</v>
      </c>
      <c r="J59"/>
      <c r="K59"/>
      <c r="L5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ETVMN.VM12.57_EST</v>
      </c>
      <c r="N59" s="13" t="str">
        <f>VLOOKUP(Tabla3[[#This Row],[Tipo]],TIPO[#All],2,0)</f>
        <v>ET</v>
      </c>
      <c r="O59" s="13" t="str">
        <f>VLOOKUP(Tabla3[[#This Row],[Lugar]],LUGAR[#All],2,0)</f>
        <v>VMN</v>
      </c>
      <c r="P59" s="13" t="str">
        <f>Tabla3[[#This Row],[SIGLAS]]</f>
        <v>VM12</v>
      </c>
      <c r="Q59" s="13" t="str">
        <f>_xlfn.IFNA(VLOOKUP(Tabla3[[#This Row],[Nivel de tension]],NIVEL[#All],2,0),"")</f>
        <v/>
      </c>
      <c r="R59" s="13" t="str">
        <f>_xlfn.IFNA(VLOOKUP(Tabla3[[#This Row],[DISPOSITIVO]],DISPOSITIVO[],2,0),"")</f>
        <v>57_</v>
      </c>
      <c r="S59" s="13" t="str">
        <f>_xlfn.IFNA(VLOOKUP(Tabla3[[#This Row],[PROTECCION SECUNDARIA]],PROTECCION_SECUNDARIA[],2,0),"")</f>
        <v/>
      </c>
      <c r="T59" s="13" t="str">
        <f>_xlfn.IFNA(VLOOKUP(Tabla3[[#This Row],[Que]],QUE[#All],2,0),"")</f>
        <v>EST</v>
      </c>
      <c r="U59" s="13" t="str">
        <f>_xlfn.IFNA(VLOOKUP(Tabla3[[#This Row],[Señal]],SEÑAL[#All],2,0),"")</f>
        <v/>
      </c>
      <c r="V59" s="13" t="str">
        <f>_xlfn.IFNA(VLOOKUP(Tabla3[[#This Row],[NUMERO]],SEÑAL[#All],2,0),"")</f>
        <v/>
      </c>
    </row>
    <row r="60" spans="1:22" x14ac:dyDescent="0.25">
      <c r="A60" s="25" t="s">
        <v>141</v>
      </c>
      <c r="B60" s="2" t="s">
        <v>8</v>
      </c>
      <c r="C60" s="2" t="s">
        <v>89</v>
      </c>
      <c r="D60" s="2" t="s">
        <v>106</v>
      </c>
      <c r="E60" s="2" t="s">
        <v>864</v>
      </c>
      <c r="G60" s="2" t="s">
        <v>852</v>
      </c>
      <c r="I60" t="s">
        <v>384</v>
      </c>
      <c r="J60" t="s">
        <v>478</v>
      </c>
      <c r="K60"/>
      <c r="L6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ETVMN.VM12.51-52_RESDES</v>
      </c>
      <c r="N60" s="13" t="str">
        <f>VLOOKUP(Tabla3[[#This Row],[Tipo]],TIPO[#All],2,0)</f>
        <v>ET</v>
      </c>
      <c r="O60" s="13" t="str">
        <f>VLOOKUP(Tabla3[[#This Row],[Lugar]],LUGAR[#All],2,0)</f>
        <v>VMN</v>
      </c>
      <c r="P60" s="13" t="str">
        <f>Tabla3[[#This Row],[SIGLAS]]</f>
        <v>VM12</v>
      </c>
      <c r="Q60" s="13" t="str">
        <f>_xlfn.IFNA(VLOOKUP(Tabla3[[#This Row],[Nivel de tension]],NIVEL[#All],2,0),"")</f>
        <v/>
      </c>
      <c r="R60" s="13" t="str">
        <f>_xlfn.IFNA(VLOOKUP(Tabla3[[#This Row],[DISPOSITIVO]],DISPOSITIVO[],2,0),"")</f>
        <v>51-</v>
      </c>
      <c r="S60" s="13" t="str">
        <f>_xlfn.IFNA(VLOOKUP(Tabla3[[#This Row],[PROTECCION SECUNDARIA]],PROTECCION_SECUNDARIA[],2,0),"")</f>
        <v/>
      </c>
      <c r="T60" s="13" t="str">
        <f>_xlfn.IFNA(VLOOKUP(Tabla3[[#This Row],[Que]],QUE[#All],2,0),"")</f>
        <v>52</v>
      </c>
      <c r="U60" s="13" t="str">
        <f>_xlfn.IFNA(VLOOKUP(Tabla3[[#This Row],[Señal]],SEÑAL[#All],2,0),"")</f>
        <v>_RESDES</v>
      </c>
      <c r="V60" s="13" t="str">
        <f>_xlfn.IFNA(VLOOKUP(Tabla3[[#This Row],[NUMERO]],SEÑAL[#All],2,0),"")</f>
        <v/>
      </c>
    </row>
    <row r="61" spans="1:22" x14ac:dyDescent="0.25">
      <c r="A61" s="25" t="s">
        <v>142</v>
      </c>
      <c r="B61" s="2" t="s">
        <v>8</v>
      </c>
      <c r="C61" s="2" t="s">
        <v>89</v>
      </c>
      <c r="D61" s="2" t="s">
        <v>106</v>
      </c>
      <c r="E61" s="2" t="s">
        <v>864</v>
      </c>
      <c r="G61" s="2" t="s">
        <v>852</v>
      </c>
      <c r="I61" t="s">
        <v>384</v>
      </c>
      <c r="J61" t="s">
        <v>584</v>
      </c>
      <c r="K61"/>
      <c r="L6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ETVMN.VM12.51-52_GAS</v>
      </c>
      <c r="N61" s="13" t="str">
        <f>VLOOKUP(Tabla3[[#This Row],[Tipo]],TIPO[#All],2,0)</f>
        <v>ET</v>
      </c>
      <c r="O61" s="13" t="str">
        <f>VLOOKUP(Tabla3[[#This Row],[Lugar]],LUGAR[#All],2,0)</f>
        <v>VMN</v>
      </c>
      <c r="P61" s="13" t="str">
        <f>Tabla3[[#This Row],[SIGLAS]]</f>
        <v>VM12</v>
      </c>
      <c r="Q61" s="13" t="str">
        <f>_xlfn.IFNA(VLOOKUP(Tabla3[[#This Row],[Nivel de tension]],NIVEL[#All],2,0),"")</f>
        <v/>
      </c>
      <c r="R61" s="13" t="str">
        <f>_xlfn.IFNA(VLOOKUP(Tabla3[[#This Row],[DISPOSITIVO]],DISPOSITIVO[],2,0),"")</f>
        <v>51-</v>
      </c>
      <c r="S61" s="13" t="str">
        <f>_xlfn.IFNA(VLOOKUP(Tabla3[[#This Row],[PROTECCION SECUNDARIA]],PROTECCION_SECUNDARIA[],2,0),"")</f>
        <v/>
      </c>
      <c r="T61" s="13" t="str">
        <f>_xlfn.IFNA(VLOOKUP(Tabla3[[#This Row],[Que]],QUE[#All],2,0),"")</f>
        <v>52</v>
      </c>
      <c r="U61" s="13" t="str">
        <f>_xlfn.IFNA(VLOOKUP(Tabla3[[#This Row],[Señal]],SEÑAL[#All],2,0),"")</f>
        <v>_GAS</v>
      </c>
      <c r="V61" s="13" t="str">
        <f>_xlfn.IFNA(VLOOKUP(Tabla3[[#This Row],[NUMERO]],SEÑAL[#All],2,0),"")</f>
        <v/>
      </c>
    </row>
    <row r="62" spans="1:22" x14ac:dyDescent="0.25">
      <c r="A62" s="25" t="s">
        <v>143</v>
      </c>
      <c r="B62" s="2" t="s">
        <v>8</v>
      </c>
      <c r="C62" s="2" t="s">
        <v>89</v>
      </c>
      <c r="D62" s="2" t="s">
        <v>106</v>
      </c>
      <c r="E62" s="2" t="s">
        <v>864</v>
      </c>
      <c r="G62" s="2" t="s">
        <v>852</v>
      </c>
      <c r="I62" t="s">
        <v>847</v>
      </c>
      <c r="J62"/>
      <c r="K62"/>
      <c r="L6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ETVMN.VM12.51-VPROT</v>
      </c>
      <c r="N62" s="13" t="str">
        <f>VLOOKUP(Tabla3[[#This Row],[Tipo]],TIPO[#All],2,0)</f>
        <v>ET</v>
      </c>
      <c r="O62" s="13" t="str">
        <f>VLOOKUP(Tabla3[[#This Row],[Lugar]],LUGAR[#All],2,0)</f>
        <v>VMN</v>
      </c>
      <c r="P62" s="13" t="str">
        <f>Tabla3[[#This Row],[SIGLAS]]</f>
        <v>VM12</v>
      </c>
      <c r="Q62" s="13" t="str">
        <f>_xlfn.IFNA(VLOOKUP(Tabla3[[#This Row],[Nivel de tension]],NIVEL[#All],2,0),"")</f>
        <v/>
      </c>
      <c r="R62" s="13" t="str">
        <f>_xlfn.IFNA(VLOOKUP(Tabla3[[#This Row],[DISPOSITIVO]],DISPOSITIVO[],2,0),"")</f>
        <v>51-</v>
      </c>
      <c r="S62" s="13" t="str">
        <f>_xlfn.IFNA(VLOOKUP(Tabla3[[#This Row],[PROTECCION SECUNDARIA]],PROTECCION_SECUNDARIA[],2,0),"")</f>
        <v/>
      </c>
      <c r="T62" s="13" t="str">
        <f>_xlfn.IFNA(VLOOKUP(Tabla3[[#This Row],[Que]],QUE[#All],2,0),"")</f>
        <v>VPROT</v>
      </c>
      <c r="U62" s="13" t="str">
        <f>_xlfn.IFNA(VLOOKUP(Tabla3[[#This Row],[Señal]],SEÑAL[#All],2,0),"")</f>
        <v/>
      </c>
      <c r="V62" s="13" t="str">
        <f>_xlfn.IFNA(VLOOKUP(Tabla3[[#This Row],[NUMERO]],SEÑAL[#All],2,0),"")</f>
        <v/>
      </c>
    </row>
    <row r="63" spans="1:22" x14ac:dyDescent="0.25">
      <c r="A63" s="25" t="s">
        <v>144</v>
      </c>
      <c r="B63" s="2" t="s">
        <v>8</v>
      </c>
      <c r="C63" s="2" t="s">
        <v>89</v>
      </c>
      <c r="D63" s="2" t="s">
        <v>106</v>
      </c>
      <c r="E63" s="2" t="s">
        <v>864</v>
      </c>
      <c r="I63" t="s">
        <v>848</v>
      </c>
      <c r="J63" t="s">
        <v>438</v>
      </c>
      <c r="K63"/>
      <c r="L6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ETVMN.VM12.LL_EST</v>
      </c>
      <c r="N63" s="13" t="str">
        <f>VLOOKUP(Tabla3[[#This Row],[Tipo]],TIPO[#All],2,0)</f>
        <v>ET</v>
      </c>
      <c r="O63" s="13" t="str">
        <f>VLOOKUP(Tabla3[[#This Row],[Lugar]],LUGAR[#All],2,0)</f>
        <v>VMN</v>
      </c>
      <c r="P63" s="13" t="str">
        <f>Tabla3[[#This Row],[SIGLAS]]</f>
        <v>VM12</v>
      </c>
      <c r="Q63" s="13" t="str">
        <f>_xlfn.IFNA(VLOOKUP(Tabla3[[#This Row],[Nivel de tension]],NIVEL[#All],2,0),"")</f>
        <v/>
      </c>
      <c r="R63" s="13" t="str">
        <f>_xlfn.IFNA(VLOOKUP(Tabla3[[#This Row],[DISPOSITIVO]],DISPOSITIVO[],2,0),"")</f>
        <v/>
      </c>
      <c r="S63" s="13" t="str">
        <f>_xlfn.IFNA(VLOOKUP(Tabla3[[#This Row],[PROTECCION SECUNDARIA]],PROTECCION_SECUNDARIA[],2,0),"")</f>
        <v/>
      </c>
      <c r="T63" s="13" t="str">
        <f>_xlfn.IFNA(VLOOKUP(Tabla3[[#This Row],[Que]],QUE[#All],2,0),"")</f>
        <v>LL</v>
      </c>
      <c r="U63" s="13" t="str">
        <f>_xlfn.IFNA(VLOOKUP(Tabla3[[#This Row],[Señal]],SEÑAL[#All],2,0),"")</f>
        <v>_EST</v>
      </c>
      <c r="V63" s="13" t="str">
        <f>_xlfn.IFNA(VLOOKUP(Tabla3[[#This Row],[NUMERO]],SEÑAL[#All],2,0),"")</f>
        <v/>
      </c>
    </row>
    <row r="64" spans="1:22" x14ac:dyDescent="0.25">
      <c r="A64" s="25" t="s">
        <v>145</v>
      </c>
      <c r="B64" s="2" t="s">
        <v>8</v>
      </c>
      <c r="C64" s="2" t="s">
        <v>89</v>
      </c>
      <c r="D64" s="2" t="s">
        <v>106</v>
      </c>
      <c r="E64" s="2" t="s">
        <v>864</v>
      </c>
      <c r="G64" s="2" t="s">
        <v>852</v>
      </c>
      <c r="I64" t="s">
        <v>858</v>
      </c>
      <c r="J64"/>
      <c r="K64"/>
      <c r="L6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ETVMN.VM12.51-VSENIAL</v>
      </c>
      <c r="N64" s="13" t="str">
        <f>VLOOKUP(Tabla3[[#This Row],[Tipo]],TIPO[#All],2,0)</f>
        <v>ET</v>
      </c>
      <c r="O64" s="13" t="str">
        <f>VLOOKUP(Tabla3[[#This Row],[Lugar]],LUGAR[#All],2,0)</f>
        <v>VMN</v>
      </c>
      <c r="P64" s="13" t="str">
        <f>Tabla3[[#This Row],[SIGLAS]]</f>
        <v>VM12</v>
      </c>
      <c r="Q64" s="13" t="str">
        <f>_xlfn.IFNA(VLOOKUP(Tabla3[[#This Row],[Nivel de tension]],NIVEL[#All],2,0),"")</f>
        <v/>
      </c>
      <c r="R64" s="13" t="str">
        <f>_xlfn.IFNA(VLOOKUP(Tabla3[[#This Row],[DISPOSITIVO]],DISPOSITIVO[],2,0),"")</f>
        <v>51-</v>
      </c>
      <c r="S64" s="13" t="str">
        <f>_xlfn.IFNA(VLOOKUP(Tabla3[[#This Row],[PROTECCION SECUNDARIA]],PROTECCION_SECUNDARIA[],2,0),"")</f>
        <v/>
      </c>
      <c r="T64" s="13" t="str">
        <f>_xlfn.IFNA(VLOOKUP(Tabla3[[#This Row],[Que]],QUE[#All],2,0),"")</f>
        <v>VSENIAL</v>
      </c>
      <c r="U64" s="13" t="str">
        <f>_xlfn.IFNA(VLOOKUP(Tabla3[[#This Row],[Señal]],SEÑAL[#All],2,0),"")</f>
        <v/>
      </c>
      <c r="V64" s="13" t="str">
        <f>_xlfn.IFNA(VLOOKUP(Tabla3[[#This Row],[NUMERO]],SEÑAL[#All],2,0),"")</f>
        <v/>
      </c>
    </row>
    <row r="65" spans="1:22" x14ac:dyDescent="0.25">
      <c r="A65" s="25" t="s">
        <v>146</v>
      </c>
      <c r="B65" s="2" t="s">
        <v>8</v>
      </c>
      <c r="C65" s="2" t="s">
        <v>89</v>
      </c>
      <c r="D65" s="2" t="s">
        <v>106</v>
      </c>
      <c r="E65" s="2" t="s">
        <v>864</v>
      </c>
      <c r="G65" s="2" t="s">
        <v>859</v>
      </c>
      <c r="I65" t="s">
        <v>438</v>
      </c>
      <c r="J65"/>
      <c r="K65"/>
      <c r="L6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ETVMN.VM12.89B_EST</v>
      </c>
      <c r="N65" s="13" t="str">
        <f>VLOOKUP(Tabla3[[#This Row],[Tipo]],TIPO[#All],2,0)</f>
        <v>ET</v>
      </c>
      <c r="O65" s="13" t="str">
        <f>VLOOKUP(Tabla3[[#This Row],[Lugar]],LUGAR[#All],2,0)</f>
        <v>VMN</v>
      </c>
      <c r="P65" s="13" t="str">
        <f>Tabla3[[#This Row],[SIGLAS]]</f>
        <v>VM12</v>
      </c>
      <c r="Q65" s="13" t="str">
        <f>_xlfn.IFNA(VLOOKUP(Tabla3[[#This Row],[Nivel de tension]],NIVEL[#All],2,0),"")</f>
        <v/>
      </c>
      <c r="R65" s="13" t="str">
        <f>_xlfn.IFNA(VLOOKUP(Tabla3[[#This Row],[DISPOSITIVO]],DISPOSITIVO[],2,0),"")</f>
        <v>89B_</v>
      </c>
      <c r="S65" s="13" t="str">
        <f>_xlfn.IFNA(VLOOKUP(Tabla3[[#This Row],[PROTECCION SECUNDARIA]],PROTECCION_SECUNDARIA[],2,0),"")</f>
        <v/>
      </c>
      <c r="T65" s="13" t="str">
        <f>_xlfn.IFNA(VLOOKUP(Tabla3[[#This Row],[Que]],QUE[#All],2,0),"")</f>
        <v>EST</v>
      </c>
      <c r="U65" s="13" t="str">
        <f>_xlfn.IFNA(VLOOKUP(Tabla3[[#This Row],[Señal]],SEÑAL[#All],2,0),"")</f>
        <v/>
      </c>
      <c r="V65" s="13" t="str">
        <f>_xlfn.IFNA(VLOOKUP(Tabla3[[#This Row],[NUMERO]],SEÑAL[#All],2,0),"")</f>
        <v/>
      </c>
    </row>
    <row r="66" spans="1:22" x14ac:dyDescent="0.25">
      <c r="A66" s="25" t="s">
        <v>147</v>
      </c>
      <c r="B66" s="2" t="s">
        <v>8</v>
      </c>
      <c r="C66" s="2" t="s">
        <v>89</v>
      </c>
      <c r="D66" s="2" t="s">
        <v>106</v>
      </c>
      <c r="E66" s="2" t="s">
        <v>864</v>
      </c>
      <c r="G66" s="2" t="s">
        <v>852</v>
      </c>
      <c r="I66" t="s">
        <v>384</v>
      </c>
      <c r="J66" t="s">
        <v>438</v>
      </c>
      <c r="K66"/>
      <c r="L6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ETVMN.VM12.51-52_EST</v>
      </c>
      <c r="N66" s="13" t="str">
        <f>VLOOKUP(Tabla3[[#This Row],[Tipo]],TIPO[#All],2,0)</f>
        <v>ET</v>
      </c>
      <c r="O66" s="13" t="str">
        <f>VLOOKUP(Tabla3[[#This Row],[Lugar]],LUGAR[#All],2,0)</f>
        <v>VMN</v>
      </c>
      <c r="P66" s="13" t="str">
        <f>Tabla3[[#This Row],[SIGLAS]]</f>
        <v>VM12</v>
      </c>
      <c r="Q66" s="13" t="str">
        <f>_xlfn.IFNA(VLOOKUP(Tabla3[[#This Row],[Nivel de tension]],NIVEL[#All],2,0),"")</f>
        <v/>
      </c>
      <c r="R66" s="13" t="str">
        <f>_xlfn.IFNA(VLOOKUP(Tabla3[[#This Row],[DISPOSITIVO]],DISPOSITIVO[],2,0),"")</f>
        <v>51-</v>
      </c>
      <c r="S66" s="13" t="str">
        <f>_xlfn.IFNA(VLOOKUP(Tabla3[[#This Row],[PROTECCION SECUNDARIA]],PROTECCION_SECUNDARIA[],2,0),"")</f>
        <v/>
      </c>
      <c r="T66" s="13" t="str">
        <f>_xlfn.IFNA(VLOOKUP(Tabla3[[#This Row],[Que]],QUE[#All],2,0),"")</f>
        <v>52</v>
      </c>
      <c r="U66" s="13" t="str">
        <f>_xlfn.IFNA(VLOOKUP(Tabla3[[#This Row],[Señal]],SEÑAL[#All],2,0),"")</f>
        <v>_EST</v>
      </c>
      <c r="V66" s="13" t="str">
        <f>_xlfn.IFNA(VLOOKUP(Tabla3[[#This Row],[NUMERO]],SEÑAL[#All],2,0),"")</f>
        <v/>
      </c>
    </row>
    <row r="67" spans="1:22" x14ac:dyDescent="0.25">
      <c r="A67" s="25" t="s">
        <v>148</v>
      </c>
      <c r="B67" s="2" t="s">
        <v>8</v>
      </c>
      <c r="C67" s="2" t="s">
        <v>89</v>
      </c>
      <c r="D67" s="2" t="s">
        <v>106</v>
      </c>
      <c r="E67" s="2" t="s">
        <v>864</v>
      </c>
      <c r="I67"/>
      <c r="J67"/>
      <c r="K67"/>
      <c r="L6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</v>
      </c>
      <c r="N67" s="13" t="str">
        <f>VLOOKUP(Tabla3[[#This Row],[Tipo]],TIPO[#All],2,0)</f>
        <v>ET</v>
      </c>
      <c r="O67" s="13" t="str">
        <f>VLOOKUP(Tabla3[[#This Row],[Lugar]],LUGAR[#All],2,0)</f>
        <v>VMN</v>
      </c>
      <c r="P67" s="13" t="str">
        <f>Tabla3[[#This Row],[SIGLAS]]</f>
        <v>VM12</v>
      </c>
      <c r="Q67" s="13" t="str">
        <f>_xlfn.IFNA(VLOOKUP(Tabla3[[#This Row],[Nivel de tension]],NIVEL[#All],2,0),"")</f>
        <v/>
      </c>
      <c r="R67" s="13" t="str">
        <f>_xlfn.IFNA(VLOOKUP(Tabla3[[#This Row],[DISPOSITIVO]],DISPOSITIVO[],2,0),"")</f>
        <v/>
      </c>
      <c r="S67" s="13" t="str">
        <f>_xlfn.IFNA(VLOOKUP(Tabla3[[#This Row],[PROTECCION SECUNDARIA]],PROTECCION_SECUNDARIA[],2,0),"")</f>
        <v/>
      </c>
      <c r="T67" s="13" t="str">
        <f>_xlfn.IFNA(VLOOKUP(Tabla3[[#This Row],[Que]],QUE[#All],2,0),"")</f>
        <v/>
      </c>
      <c r="U67" s="13" t="str">
        <f>_xlfn.IFNA(VLOOKUP(Tabla3[[#This Row],[Señal]],SEÑAL[#All],2,0),"")</f>
        <v/>
      </c>
      <c r="V67" s="13" t="str">
        <f>_xlfn.IFNA(VLOOKUP(Tabla3[[#This Row],[NUMERO]],SEÑAL[#All],2,0),"")</f>
        <v/>
      </c>
    </row>
    <row r="68" spans="1:22" x14ac:dyDescent="0.25">
      <c r="A68" s="25" t="s">
        <v>149</v>
      </c>
      <c r="B68" s="2" t="s">
        <v>8</v>
      </c>
      <c r="C68" s="2" t="s">
        <v>89</v>
      </c>
      <c r="D68" s="2" t="s">
        <v>106</v>
      </c>
      <c r="E68" s="2" t="s">
        <v>864</v>
      </c>
      <c r="G68" s="2" t="s">
        <v>29</v>
      </c>
      <c r="I68" t="s">
        <v>11</v>
      </c>
      <c r="J68"/>
      <c r="K68"/>
      <c r="L6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ETVMN.VM12.52_CARRO</v>
      </c>
      <c r="N68" s="13" t="str">
        <f>VLOOKUP(Tabla3[[#This Row],[Tipo]],TIPO[#All],2,0)</f>
        <v>ET</v>
      </c>
      <c r="O68" s="13" t="str">
        <f>VLOOKUP(Tabla3[[#This Row],[Lugar]],LUGAR[#All],2,0)</f>
        <v>VMN</v>
      </c>
      <c r="P68" s="13" t="str">
        <f>Tabla3[[#This Row],[SIGLAS]]</f>
        <v>VM12</v>
      </c>
      <c r="Q68" s="13" t="str">
        <f>_xlfn.IFNA(VLOOKUP(Tabla3[[#This Row],[Nivel de tension]],NIVEL[#All],2,0),"")</f>
        <v/>
      </c>
      <c r="R68" s="13" t="str">
        <f>_xlfn.IFNA(VLOOKUP(Tabla3[[#This Row],[DISPOSITIVO]],DISPOSITIVO[],2,0),"")</f>
        <v>52_</v>
      </c>
      <c r="S68" s="13" t="str">
        <f>_xlfn.IFNA(VLOOKUP(Tabla3[[#This Row],[PROTECCION SECUNDARIA]],PROTECCION_SECUNDARIA[],2,0),"")</f>
        <v/>
      </c>
      <c r="T68" s="13" t="str">
        <f>_xlfn.IFNA(VLOOKUP(Tabla3[[#This Row],[Que]],QUE[#All],2,0),"")</f>
        <v>CARRO</v>
      </c>
      <c r="U68" s="13" t="str">
        <f>_xlfn.IFNA(VLOOKUP(Tabla3[[#This Row],[Señal]],SEÑAL[#All],2,0),"")</f>
        <v/>
      </c>
      <c r="V68" s="13" t="str">
        <f>_xlfn.IFNA(VLOOKUP(Tabla3[[#This Row],[NUMERO]],SEÑAL[#All],2,0),"")</f>
        <v/>
      </c>
    </row>
    <row r="69" spans="1:22" x14ac:dyDescent="0.25">
      <c r="A69" s="25" t="s">
        <v>150</v>
      </c>
      <c r="B69" s="2" t="s">
        <v>8</v>
      </c>
      <c r="C69" s="2" t="s">
        <v>89</v>
      </c>
      <c r="D69" s="2" t="s">
        <v>106</v>
      </c>
      <c r="E69" s="2" t="s">
        <v>864</v>
      </c>
      <c r="I69" t="s">
        <v>863</v>
      </c>
      <c r="J69"/>
      <c r="K69"/>
      <c r="L6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ETVMN.VM12.VCDO</v>
      </c>
      <c r="N69" s="13" t="str">
        <f>VLOOKUP(Tabla3[[#This Row],[Tipo]],TIPO[#All],2,0)</f>
        <v>ET</v>
      </c>
      <c r="O69" s="13" t="str">
        <f>VLOOKUP(Tabla3[[#This Row],[Lugar]],LUGAR[#All],2,0)</f>
        <v>VMN</v>
      </c>
      <c r="P69" s="13" t="str">
        <f>Tabla3[[#This Row],[SIGLAS]]</f>
        <v>VM12</v>
      </c>
      <c r="Q69" s="13" t="str">
        <f>_xlfn.IFNA(VLOOKUP(Tabla3[[#This Row],[Nivel de tension]],NIVEL[#All],2,0),"")</f>
        <v/>
      </c>
      <c r="R69" s="13" t="str">
        <f>_xlfn.IFNA(VLOOKUP(Tabla3[[#This Row],[DISPOSITIVO]],DISPOSITIVO[],2,0),"")</f>
        <v/>
      </c>
      <c r="S69" s="13" t="str">
        <f>_xlfn.IFNA(VLOOKUP(Tabla3[[#This Row],[PROTECCION SECUNDARIA]],PROTECCION_SECUNDARIA[],2,0),"")</f>
        <v/>
      </c>
      <c r="T69" s="13" t="str">
        <f>_xlfn.IFNA(VLOOKUP(Tabla3[[#This Row],[Que]],QUE[#All],2,0),"")</f>
        <v>VCDO</v>
      </c>
      <c r="U69" s="13" t="str">
        <f>_xlfn.IFNA(VLOOKUP(Tabla3[[#This Row],[Señal]],SEÑAL[#All],2,0),"")</f>
        <v/>
      </c>
      <c r="V69" s="13" t="str">
        <f>_xlfn.IFNA(VLOOKUP(Tabla3[[#This Row],[NUMERO]],SEÑAL[#All],2,0),"")</f>
        <v/>
      </c>
    </row>
    <row r="70" spans="1:22" x14ac:dyDescent="0.25">
      <c r="A70" s="25" t="s">
        <v>151</v>
      </c>
      <c r="B70" s="2" t="s">
        <v>8</v>
      </c>
      <c r="C70" s="2" t="s">
        <v>89</v>
      </c>
      <c r="D70" s="2" t="s">
        <v>106</v>
      </c>
      <c r="E70" s="2" t="s">
        <v>864</v>
      </c>
      <c r="G70" s="2" t="s">
        <v>26</v>
      </c>
      <c r="I70" t="s">
        <v>438</v>
      </c>
      <c r="J70"/>
      <c r="K70"/>
      <c r="L7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ETVMN.VM12.79_EST</v>
      </c>
      <c r="N70" s="13" t="str">
        <f>VLOOKUP(Tabla3[[#This Row],[Tipo]],TIPO[#All],2,0)</f>
        <v>ET</v>
      </c>
      <c r="O70" s="13" t="str">
        <f>VLOOKUP(Tabla3[[#This Row],[Lugar]],LUGAR[#All],2,0)</f>
        <v>VMN</v>
      </c>
      <c r="P70" s="13" t="str">
        <f>Tabla3[[#This Row],[SIGLAS]]</f>
        <v>VM12</v>
      </c>
      <c r="Q70" s="13" t="str">
        <f>_xlfn.IFNA(VLOOKUP(Tabla3[[#This Row],[Nivel de tension]],NIVEL[#All],2,0),"")</f>
        <v/>
      </c>
      <c r="R70" s="13" t="str">
        <f>_xlfn.IFNA(VLOOKUP(Tabla3[[#This Row],[DISPOSITIVO]],DISPOSITIVO[],2,0),"")</f>
        <v>79_</v>
      </c>
      <c r="S70" s="13" t="str">
        <f>_xlfn.IFNA(VLOOKUP(Tabla3[[#This Row],[PROTECCION SECUNDARIA]],PROTECCION_SECUNDARIA[],2,0),"")</f>
        <v/>
      </c>
      <c r="T70" s="13" t="str">
        <f>_xlfn.IFNA(VLOOKUP(Tabla3[[#This Row],[Que]],QUE[#All],2,0),"")</f>
        <v>EST</v>
      </c>
      <c r="U70" s="13" t="str">
        <f>_xlfn.IFNA(VLOOKUP(Tabla3[[#This Row],[Señal]],SEÑAL[#All],2,0),"")</f>
        <v/>
      </c>
      <c r="V70" s="13" t="str">
        <f>_xlfn.IFNA(VLOOKUP(Tabla3[[#This Row],[NUMERO]],SEÑAL[#All],2,0),"")</f>
        <v/>
      </c>
    </row>
    <row r="71" spans="1:22" x14ac:dyDescent="0.25">
      <c r="A71" s="25" t="s">
        <v>152</v>
      </c>
      <c r="B71" s="2" t="s">
        <v>8</v>
      </c>
      <c r="C71" s="2" t="s">
        <v>89</v>
      </c>
      <c r="D71" s="2" t="s">
        <v>106</v>
      </c>
      <c r="E71" s="2" t="s">
        <v>864</v>
      </c>
      <c r="G71" s="2" t="s">
        <v>852</v>
      </c>
      <c r="I71" t="s">
        <v>848</v>
      </c>
      <c r="J71" t="s">
        <v>438</v>
      </c>
      <c r="K71"/>
      <c r="L7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ETVMN.VM12.51-LL_EST</v>
      </c>
      <c r="N71" s="13" t="str">
        <f>VLOOKUP(Tabla3[[#This Row],[Tipo]],TIPO[#All],2,0)</f>
        <v>ET</v>
      </c>
      <c r="O71" s="13" t="str">
        <f>VLOOKUP(Tabla3[[#This Row],[Lugar]],LUGAR[#All],2,0)</f>
        <v>VMN</v>
      </c>
      <c r="P71" s="13" t="str">
        <f>Tabla3[[#This Row],[SIGLAS]]</f>
        <v>VM12</v>
      </c>
      <c r="Q71" s="13" t="str">
        <f>_xlfn.IFNA(VLOOKUP(Tabla3[[#This Row],[Nivel de tension]],NIVEL[#All],2,0),"")</f>
        <v/>
      </c>
      <c r="R71" s="13" t="str">
        <f>_xlfn.IFNA(VLOOKUP(Tabla3[[#This Row],[DISPOSITIVO]],DISPOSITIVO[],2,0),"")</f>
        <v>51-</v>
      </c>
      <c r="S71" s="13" t="str">
        <f>_xlfn.IFNA(VLOOKUP(Tabla3[[#This Row],[PROTECCION SECUNDARIA]],PROTECCION_SECUNDARIA[],2,0),"")</f>
        <v/>
      </c>
      <c r="T71" s="13" t="str">
        <f>_xlfn.IFNA(VLOOKUP(Tabla3[[#This Row],[Que]],QUE[#All],2,0),"")</f>
        <v>LL</v>
      </c>
      <c r="U71" s="13" t="str">
        <f>_xlfn.IFNA(VLOOKUP(Tabla3[[#This Row],[Señal]],SEÑAL[#All],2,0),"")</f>
        <v>_EST</v>
      </c>
      <c r="V71" s="13" t="str">
        <f>_xlfn.IFNA(VLOOKUP(Tabla3[[#This Row],[NUMERO]],SEÑAL[#All],2,0),"")</f>
        <v/>
      </c>
    </row>
    <row r="72" spans="1:22" x14ac:dyDescent="0.25">
      <c r="A72" s="25" t="s">
        <v>153</v>
      </c>
      <c r="B72" s="2" t="s">
        <v>8</v>
      </c>
      <c r="C72" s="2" t="s">
        <v>89</v>
      </c>
      <c r="D72" s="2" t="s">
        <v>106</v>
      </c>
      <c r="E72" s="2" t="s">
        <v>864</v>
      </c>
      <c r="I72" t="s">
        <v>477</v>
      </c>
      <c r="J72"/>
      <c r="K72"/>
      <c r="L7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ETVMN.VM12.RELE</v>
      </c>
      <c r="N72" s="13" t="str">
        <f>VLOOKUP(Tabla3[[#This Row],[Tipo]],TIPO[#All],2,0)</f>
        <v>ET</v>
      </c>
      <c r="O72" s="13" t="str">
        <f>VLOOKUP(Tabla3[[#This Row],[Lugar]],LUGAR[#All],2,0)</f>
        <v>VMN</v>
      </c>
      <c r="P72" s="13" t="str">
        <f>Tabla3[[#This Row],[SIGLAS]]</f>
        <v>VM12</v>
      </c>
      <c r="Q72" s="13" t="str">
        <f>_xlfn.IFNA(VLOOKUP(Tabla3[[#This Row],[Nivel de tension]],NIVEL[#All],2,0),"")</f>
        <v/>
      </c>
      <c r="R72" s="13" t="str">
        <f>_xlfn.IFNA(VLOOKUP(Tabla3[[#This Row],[DISPOSITIVO]],DISPOSITIVO[],2,0),"")</f>
        <v/>
      </c>
      <c r="S72" s="13" t="str">
        <f>_xlfn.IFNA(VLOOKUP(Tabla3[[#This Row],[PROTECCION SECUNDARIA]],PROTECCION_SECUNDARIA[],2,0),"")</f>
        <v/>
      </c>
      <c r="T72" s="13" t="str">
        <f>_xlfn.IFNA(VLOOKUP(Tabla3[[#This Row],[Que]],QUE[#All],2,0),"")</f>
        <v>RELE</v>
      </c>
      <c r="U72" s="13" t="str">
        <f>_xlfn.IFNA(VLOOKUP(Tabla3[[#This Row],[Señal]],SEÑAL[#All],2,0),"")</f>
        <v/>
      </c>
      <c r="V72" s="13" t="str">
        <f>_xlfn.IFNA(VLOOKUP(Tabla3[[#This Row],[NUMERO]],SEÑAL[#All],2,0),"")</f>
        <v/>
      </c>
    </row>
    <row r="73" spans="1:22" x14ac:dyDescent="0.25">
      <c r="A73" s="25" t="s">
        <v>154</v>
      </c>
      <c r="B73" s="2" t="s">
        <v>8</v>
      </c>
      <c r="C73" s="2" t="s">
        <v>89</v>
      </c>
      <c r="D73" s="2" t="s">
        <v>106</v>
      </c>
      <c r="E73" s="2" t="s">
        <v>864</v>
      </c>
      <c r="I73" t="s">
        <v>403</v>
      </c>
      <c r="J73"/>
      <c r="K73"/>
      <c r="L7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ETVMN.VM12.AR</v>
      </c>
      <c r="N73" s="13" t="str">
        <f>VLOOKUP(Tabla3[[#This Row],[Tipo]],TIPO[#All],2,0)</f>
        <v>ET</v>
      </c>
      <c r="O73" s="13" t="str">
        <f>VLOOKUP(Tabla3[[#This Row],[Lugar]],LUGAR[#All],2,0)</f>
        <v>VMN</v>
      </c>
      <c r="P73" s="13" t="str">
        <f>Tabla3[[#This Row],[SIGLAS]]</f>
        <v>VM12</v>
      </c>
      <c r="Q73" s="13" t="str">
        <f>_xlfn.IFNA(VLOOKUP(Tabla3[[#This Row],[Nivel de tension]],NIVEL[#All],2,0),"")</f>
        <v/>
      </c>
      <c r="R73" s="13" t="str">
        <f>_xlfn.IFNA(VLOOKUP(Tabla3[[#This Row],[DISPOSITIVO]],DISPOSITIVO[],2,0),"")</f>
        <v/>
      </c>
      <c r="S73" s="13" t="str">
        <f>_xlfn.IFNA(VLOOKUP(Tabla3[[#This Row],[PROTECCION SECUNDARIA]],PROTECCION_SECUNDARIA[],2,0),"")</f>
        <v/>
      </c>
      <c r="T73" s="13" t="str">
        <f>_xlfn.IFNA(VLOOKUP(Tabla3[[#This Row],[Que]],QUE[#All],2,0),"")</f>
        <v>AR</v>
      </c>
      <c r="U73" s="13" t="str">
        <f>_xlfn.IFNA(VLOOKUP(Tabla3[[#This Row],[Señal]],SEÑAL[#All],2,0),"")</f>
        <v/>
      </c>
      <c r="V73" s="13" t="str">
        <f>_xlfn.IFNA(VLOOKUP(Tabla3[[#This Row],[NUMERO]],SEÑAL[#All],2,0),"")</f>
        <v/>
      </c>
    </row>
    <row r="74" spans="1:22" x14ac:dyDescent="0.25">
      <c r="A74" s="25" t="s">
        <v>155</v>
      </c>
      <c r="B74" s="2" t="s">
        <v>8</v>
      </c>
      <c r="C74" s="2" t="s">
        <v>89</v>
      </c>
      <c r="D74" s="2" t="s">
        <v>106</v>
      </c>
      <c r="E74" s="2" t="s">
        <v>864</v>
      </c>
      <c r="I74" t="s">
        <v>403</v>
      </c>
      <c r="J74"/>
      <c r="K74"/>
      <c r="L7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ETVMN.VM12.AR</v>
      </c>
      <c r="N74" s="13" t="str">
        <f>VLOOKUP(Tabla3[[#This Row],[Tipo]],TIPO[#All],2,0)</f>
        <v>ET</v>
      </c>
      <c r="O74" s="13" t="str">
        <f>VLOOKUP(Tabla3[[#This Row],[Lugar]],LUGAR[#All],2,0)</f>
        <v>VMN</v>
      </c>
      <c r="P74" s="13" t="str">
        <f>Tabla3[[#This Row],[SIGLAS]]</f>
        <v>VM12</v>
      </c>
      <c r="Q74" s="13" t="str">
        <f>_xlfn.IFNA(VLOOKUP(Tabla3[[#This Row],[Nivel de tension]],NIVEL[#All],2,0),"")</f>
        <v/>
      </c>
      <c r="R74" s="13" t="str">
        <f>_xlfn.IFNA(VLOOKUP(Tabla3[[#This Row],[DISPOSITIVO]],DISPOSITIVO[],2,0),"")</f>
        <v/>
      </c>
      <c r="S74" s="13" t="str">
        <f>_xlfn.IFNA(VLOOKUP(Tabla3[[#This Row],[PROTECCION SECUNDARIA]],PROTECCION_SECUNDARIA[],2,0),"")</f>
        <v/>
      </c>
      <c r="T74" s="13" t="str">
        <f>_xlfn.IFNA(VLOOKUP(Tabla3[[#This Row],[Que]],QUE[#All],2,0),"")</f>
        <v>AR</v>
      </c>
      <c r="U74" s="13" t="str">
        <f>_xlfn.IFNA(VLOOKUP(Tabla3[[#This Row],[Señal]],SEÑAL[#All],2,0),"")</f>
        <v/>
      </c>
      <c r="V74" s="13" t="str">
        <f>_xlfn.IFNA(VLOOKUP(Tabla3[[#This Row],[NUMERO]],SEÑAL[#All],2,0),"")</f>
        <v/>
      </c>
    </row>
    <row r="75" spans="1:22" x14ac:dyDescent="0.25">
      <c r="A75" s="25" t="s">
        <v>156</v>
      </c>
      <c r="B75" s="2" t="s">
        <v>8</v>
      </c>
      <c r="C75" s="2" t="s">
        <v>89</v>
      </c>
      <c r="D75" s="2" t="s">
        <v>106</v>
      </c>
      <c r="E75" s="2" t="s">
        <v>864</v>
      </c>
      <c r="I75" t="s">
        <v>2</v>
      </c>
      <c r="J75" t="s">
        <v>538</v>
      </c>
      <c r="K75"/>
      <c r="L7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ETVMN.VM12.79_BLDIN</v>
      </c>
      <c r="N75" s="13" t="str">
        <f>VLOOKUP(Tabla3[[#This Row],[Tipo]],TIPO[#All],2,0)</f>
        <v>ET</v>
      </c>
      <c r="O75" s="13" t="str">
        <f>VLOOKUP(Tabla3[[#This Row],[Lugar]],LUGAR[#All],2,0)</f>
        <v>VMN</v>
      </c>
      <c r="P75" s="13" t="str">
        <f>Tabla3[[#This Row],[SIGLAS]]</f>
        <v>VM12</v>
      </c>
      <c r="Q75" s="13" t="str">
        <f>_xlfn.IFNA(VLOOKUP(Tabla3[[#This Row],[Nivel de tension]],NIVEL[#All],2,0),"")</f>
        <v/>
      </c>
      <c r="R75" s="13" t="str">
        <f>_xlfn.IFNA(VLOOKUP(Tabla3[[#This Row],[DISPOSITIVO]],DISPOSITIVO[],2,0),"")</f>
        <v/>
      </c>
      <c r="S75" s="13" t="str">
        <f>_xlfn.IFNA(VLOOKUP(Tabla3[[#This Row],[PROTECCION SECUNDARIA]],PROTECCION_SECUNDARIA[],2,0),"")</f>
        <v/>
      </c>
      <c r="T75" s="13" t="str">
        <f>_xlfn.IFNA(VLOOKUP(Tabla3[[#This Row],[Que]],QUE[#All],2,0),"")</f>
        <v>79</v>
      </c>
      <c r="U75" s="13" t="str">
        <f>_xlfn.IFNA(VLOOKUP(Tabla3[[#This Row],[Señal]],SEÑAL[#All],2,0),"")</f>
        <v>_BLDIN</v>
      </c>
      <c r="V75" s="13" t="str">
        <f>_xlfn.IFNA(VLOOKUP(Tabla3[[#This Row],[NUMERO]],SEÑAL[#All],2,0),"")</f>
        <v/>
      </c>
    </row>
    <row r="76" spans="1:22" x14ac:dyDescent="0.25">
      <c r="A76" s="25" t="s">
        <v>157</v>
      </c>
      <c r="B76" s="2" t="s">
        <v>8</v>
      </c>
      <c r="C76" s="2" t="s">
        <v>89</v>
      </c>
      <c r="D76" s="2" t="s">
        <v>106</v>
      </c>
      <c r="E76" s="2" t="s">
        <v>864</v>
      </c>
      <c r="I76" t="s">
        <v>2</v>
      </c>
      <c r="J76" t="s">
        <v>413</v>
      </c>
      <c r="K76"/>
      <c r="L7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ETVMN.VM12.79_BL</v>
      </c>
      <c r="N76" s="13" t="str">
        <f>VLOOKUP(Tabla3[[#This Row],[Tipo]],TIPO[#All],2,0)</f>
        <v>ET</v>
      </c>
      <c r="O76" s="13" t="str">
        <f>VLOOKUP(Tabla3[[#This Row],[Lugar]],LUGAR[#All],2,0)</f>
        <v>VMN</v>
      </c>
      <c r="P76" s="13" t="str">
        <f>Tabla3[[#This Row],[SIGLAS]]</f>
        <v>VM12</v>
      </c>
      <c r="Q76" s="13" t="str">
        <f>_xlfn.IFNA(VLOOKUP(Tabla3[[#This Row],[Nivel de tension]],NIVEL[#All],2,0),"")</f>
        <v/>
      </c>
      <c r="R76" s="13" t="str">
        <f>_xlfn.IFNA(VLOOKUP(Tabla3[[#This Row],[DISPOSITIVO]],DISPOSITIVO[],2,0),"")</f>
        <v/>
      </c>
      <c r="S76" s="13" t="str">
        <f>_xlfn.IFNA(VLOOKUP(Tabla3[[#This Row],[PROTECCION SECUNDARIA]],PROTECCION_SECUNDARIA[],2,0),"")</f>
        <v/>
      </c>
      <c r="T76" s="13" t="str">
        <f>_xlfn.IFNA(VLOOKUP(Tabla3[[#This Row],[Que]],QUE[#All],2,0),"")</f>
        <v>79</v>
      </c>
      <c r="U76" s="13" t="str">
        <f>_xlfn.IFNA(VLOOKUP(Tabla3[[#This Row],[Señal]],SEÑAL[#All],2,0),"")</f>
        <v>_BL</v>
      </c>
      <c r="V76" s="13" t="str">
        <f>_xlfn.IFNA(VLOOKUP(Tabla3[[#This Row],[NUMERO]],SEÑAL[#All],2,0),"")</f>
        <v/>
      </c>
    </row>
    <row r="77" spans="1:22" x14ac:dyDescent="0.25">
      <c r="A77" s="25" t="s">
        <v>158</v>
      </c>
      <c r="B77" s="2" t="s">
        <v>8</v>
      </c>
      <c r="C77" s="2" t="s">
        <v>89</v>
      </c>
      <c r="D77" s="2" t="s">
        <v>106</v>
      </c>
      <c r="E77" s="2" t="s">
        <v>864</v>
      </c>
      <c r="I77" t="s">
        <v>2</v>
      </c>
      <c r="J77" t="s">
        <v>580</v>
      </c>
      <c r="K77"/>
      <c r="L7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ETVMN.VM12.79_FTI</v>
      </c>
      <c r="N77" s="13" t="str">
        <f>VLOOKUP(Tabla3[[#This Row],[Tipo]],TIPO[#All],2,0)</f>
        <v>ET</v>
      </c>
      <c r="O77" s="13" t="str">
        <f>VLOOKUP(Tabla3[[#This Row],[Lugar]],LUGAR[#All],2,0)</f>
        <v>VMN</v>
      </c>
      <c r="P77" s="13" t="str">
        <f>Tabla3[[#This Row],[SIGLAS]]</f>
        <v>VM12</v>
      </c>
      <c r="Q77" s="13" t="str">
        <f>_xlfn.IFNA(VLOOKUP(Tabla3[[#This Row],[Nivel de tension]],NIVEL[#All],2,0),"")</f>
        <v/>
      </c>
      <c r="R77" s="13" t="str">
        <f>_xlfn.IFNA(VLOOKUP(Tabla3[[#This Row],[DISPOSITIVO]],DISPOSITIVO[],2,0),"")</f>
        <v/>
      </c>
      <c r="S77" s="13" t="str">
        <f>_xlfn.IFNA(VLOOKUP(Tabla3[[#This Row],[PROTECCION SECUNDARIA]],PROTECCION_SECUNDARIA[],2,0),"")</f>
        <v/>
      </c>
      <c r="T77" s="13" t="str">
        <f>_xlfn.IFNA(VLOOKUP(Tabla3[[#This Row],[Que]],QUE[#All],2,0),"")</f>
        <v>79</v>
      </c>
      <c r="U77" s="13" t="str">
        <f>_xlfn.IFNA(VLOOKUP(Tabla3[[#This Row],[Señal]],SEÑAL[#All],2,0),"")</f>
        <v>_FTI</v>
      </c>
      <c r="V77" s="13" t="str">
        <f>_xlfn.IFNA(VLOOKUP(Tabla3[[#This Row],[NUMERO]],SEÑAL[#All],2,0),"")</f>
        <v/>
      </c>
    </row>
    <row r="78" spans="1:22" x14ac:dyDescent="0.25">
      <c r="A78" s="25" t="s">
        <v>865</v>
      </c>
      <c r="B78" s="2" t="s">
        <v>8</v>
      </c>
      <c r="C78" s="2" t="s">
        <v>89</v>
      </c>
      <c r="D78" s="2" t="s">
        <v>110</v>
      </c>
      <c r="E78" s="2" t="s">
        <v>954</v>
      </c>
      <c r="G78" s="2" t="s">
        <v>859</v>
      </c>
      <c r="I78" s="2" t="s">
        <v>438</v>
      </c>
      <c r="J78"/>
      <c r="K78"/>
      <c r="L7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ETVMN.LATVMS.89B_EST</v>
      </c>
      <c r="N78" s="13" t="str">
        <f>VLOOKUP(Tabla3[[#This Row],[Tipo]],TIPO[#All],2,0)</f>
        <v>ET</v>
      </c>
      <c r="O78" s="13" t="str">
        <f>VLOOKUP(Tabla3[[#This Row],[Lugar]],LUGAR[#All],2,0)</f>
        <v>VMN</v>
      </c>
      <c r="P78" s="13" t="str">
        <f>Tabla3[[#This Row],[SIGLAS]]</f>
        <v>LATVMS</v>
      </c>
      <c r="Q78" s="13" t="str">
        <f>_xlfn.IFNA(VLOOKUP(Tabla3[[#This Row],[Nivel de tension]],NIVEL[#All],2,0),"")</f>
        <v/>
      </c>
      <c r="R78" s="13" t="str">
        <f>_xlfn.IFNA(VLOOKUP(Tabla3[[#This Row],[DISPOSITIVO]],DISPOSITIVO[],2,0),"")</f>
        <v>89B_</v>
      </c>
      <c r="S78" s="13" t="str">
        <f>_xlfn.IFNA(VLOOKUP(Tabla3[[#This Row],[PROTECCION SECUNDARIA]],PROTECCION_SECUNDARIA[],2,0),"")</f>
        <v/>
      </c>
      <c r="T78" s="13" t="str">
        <f>_xlfn.IFNA(VLOOKUP(Tabla3[[#This Row],[Que]],QUE[#All],2,0),"")</f>
        <v>EST</v>
      </c>
      <c r="U78" s="13" t="str">
        <f>_xlfn.IFNA(VLOOKUP(Tabla3[[#This Row],[Señal]],SEÑAL[#All],2,0),"")</f>
        <v/>
      </c>
      <c r="V78" s="13" t="str">
        <f>_xlfn.IFNA(VLOOKUP(Tabla3[[#This Row],[NUMERO]],SEÑAL[#All],2,0),"")</f>
        <v/>
      </c>
    </row>
    <row r="79" spans="1:22" x14ac:dyDescent="0.25">
      <c r="A79" s="25" t="s">
        <v>866</v>
      </c>
      <c r="B79" s="2" t="s">
        <v>8</v>
      </c>
      <c r="C79" s="2" t="s">
        <v>89</v>
      </c>
      <c r="D79" s="2" t="s">
        <v>110</v>
      </c>
      <c r="E79" s="2" t="s">
        <v>954</v>
      </c>
      <c r="G79" s="2" t="s">
        <v>860</v>
      </c>
      <c r="I79" s="2" t="s">
        <v>438</v>
      </c>
      <c r="J79"/>
      <c r="K79"/>
      <c r="L7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ETVMN.LATVMS.89BT_EST</v>
      </c>
      <c r="N79" s="13" t="str">
        <f>VLOOKUP(Tabla3[[#This Row],[Tipo]],TIPO[#All],2,0)</f>
        <v>ET</v>
      </c>
      <c r="O79" s="13" t="str">
        <f>VLOOKUP(Tabla3[[#This Row],[Lugar]],LUGAR[#All],2,0)</f>
        <v>VMN</v>
      </c>
      <c r="P79" s="13" t="str">
        <f>Tabla3[[#This Row],[SIGLAS]]</f>
        <v>LATVMS</v>
      </c>
      <c r="Q79" s="13" t="str">
        <f>_xlfn.IFNA(VLOOKUP(Tabla3[[#This Row],[Nivel de tension]],NIVEL[#All],2,0),"")</f>
        <v/>
      </c>
      <c r="R79" s="13" t="str">
        <f>_xlfn.IFNA(VLOOKUP(Tabla3[[#This Row],[DISPOSITIVO]],DISPOSITIVO[],2,0),"")</f>
        <v>89BT_</v>
      </c>
      <c r="S79" s="13" t="str">
        <f>_xlfn.IFNA(VLOOKUP(Tabla3[[#This Row],[PROTECCION SECUNDARIA]],PROTECCION_SECUNDARIA[],2,0),"")</f>
        <v/>
      </c>
      <c r="T79" s="13" t="str">
        <f>_xlfn.IFNA(VLOOKUP(Tabla3[[#This Row],[Que]],QUE[#All],2,0),"")</f>
        <v>EST</v>
      </c>
      <c r="U79" s="13" t="str">
        <f>_xlfn.IFNA(VLOOKUP(Tabla3[[#This Row],[Señal]],SEÑAL[#All],2,0),"")</f>
        <v/>
      </c>
      <c r="V79" s="13" t="str">
        <f>_xlfn.IFNA(VLOOKUP(Tabla3[[#This Row],[NUMERO]],SEÑAL[#All],2,0),"")</f>
        <v/>
      </c>
    </row>
    <row r="80" spans="1:22" x14ac:dyDescent="0.25">
      <c r="A80" s="25" t="s">
        <v>867</v>
      </c>
      <c r="B80" s="2" t="s">
        <v>8</v>
      </c>
      <c r="C80" s="2" t="s">
        <v>89</v>
      </c>
      <c r="D80" s="2" t="s">
        <v>110</v>
      </c>
      <c r="E80" s="2" t="s">
        <v>954</v>
      </c>
      <c r="G80" s="2" t="s">
        <v>29</v>
      </c>
      <c r="I80" s="2" t="s">
        <v>438</v>
      </c>
      <c r="J80"/>
      <c r="K80"/>
      <c r="L8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ETVMN.LATVMS.52_EST</v>
      </c>
      <c r="N80" s="13" t="str">
        <f>VLOOKUP(Tabla3[[#This Row],[Tipo]],TIPO[#All],2,0)</f>
        <v>ET</v>
      </c>
      <c r="O80" s="13" t="str">
        <f>VLOOKUP(Tabla3[[#This Row],[Lugar]],LUGAR[#All],2,0)</f>
        <v>VMN</v>
      </c>
      <c r="P80" s="13" t="str">
        <f>Tabla3[[#This Row],[SIGLAS]]</f>
        <v>LATVMS</v>
      </c>
      <c r="Q80" s="13" t="str">
        <f>_xlfn.IFNA(VLOOKUP(Tabla3[[#This Row],[Nivel de tension]],NIVEL[#All],2,0),"")</f>
        <v/>
      </c>
      <c r="R80" s="13" t="str">
        <f>_xlfn.IFNA(VLOOKUP(Tabla3[[#This Row],[DISPOSITIVO]],DISPOSITIVO[],2,0),"")</f>
        <v>52_</v>
      </c>
      <c r="S80" s="13" t="str">
        <f>_xlfn.IFNA(VLOOKUP(Tabla3[[#This Row],[PROTECCION SECUNDARIA]],PROTECCION_SECUNDARIA[],2,0),"")</f>
        <v/>
      </c>
      <c r="T80" s="13" t="str">
        <f>_xlfn.IFNA(VLOOKUP(Tabla3[[#This Row],[Que]],QUE[#All],2,0),"")</f>
        <v>EST</v>
      </c>
      <c r="U80" s="13" t="str">
        <f>_xlfn.IFNA(VLOOKUP(Tabla3[[#This Row],[Señal]],SEÑAL[#All],2,0),"")</f>
        <v/>
      </c>
      <c r="V80" s="13" t="str">
        <f>_xlfn.IFNA(VLOOKUP(Tabla3[[#This Row],[NUMERO]],SEÑAL[#All],2,0),"")</f>
        <v/>
      </c>
    </row>
    <row r="81" spans="1:22" x14ac:dyDescent="0.25">
      <c r="A81" s="25" t="s">
        <v>868</v>
      </c>
      <c r="B81" s="2" t="s">
        <v>8</v>
      </c>
      <c r="C81" s="2" t="s">
        <v>89</v>
      </c>
      <c r="D81" s="2" t="s">
        <v>110</v>
      </c>
      <c r="E81" s="2" t="s">
        <v>954</v>
      </c>
      <c r="G81" s="2" t="s">
        <v>842</v>
      </c>
      <c r="I81" s="2" t="s">
        <v>438</v>
      </c>
      <c r="J81"/>
      <c r="K81"/>
      <c r="L8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ETVMN.LATVMS.89L_EST</v>
      </c>
      <c r="N81" s="13" t="str">
        <f>VLOOKUP(Tabla3[[#This Row],[Tipo]],TIPO[#All],2,0)</f>
        <v>ET</v>
      </c>
      <c r="O81" s="13" t="str">
        <f>VLOOKUP(Tabla3[[#This Row],[Lugar]],LUGAR[#All],2,0)</f>
        <v>VMN</v>
      </c>
      <c r="P81" s="13" t="str">
        <f>Tabla3[[#This Row],[SIGLAS]]</f>
        <v>LATVMS</v>
      </c>
      <c r="Q81" s="13" t="str">
        <f>_xlfn.IFNA(VLOOKUP(Tabla3[[#This Row],[Nivel de tension]],NIVEL[#All],2,0),"")</f>
        <v/>
      </c>
      <c r="R81" s="13" t="str">
        <f>_xlfn.IFNA(VLOOKUP(Tabla3[[#This Row],[DISPOSITIVO]],DISPOSITIVO[],2,0),"")</f>
        <v>89L_</v>
      </c>
      <c r="S81" s="13" t="str">
        <f>_xlfn.IFNA(VLOOKUP(Tabla3[[#This Row],[PROTECCION SECUNDARIA]],PROTECCION_SECUNDARIA[],2,0),"")</f>
        <v/>
      </c>
      <c r="T81" s="13" t="str">
        <f>_xlfn.IFNA(VLOOKUP(Tabla3[[#This Row],[Que]],QUE[#All],2,0),"")</f>
        <v>EST</v>
      </c>
      <c r="U81" s="13" t="str">
        <f>_xlfn.IFNA(VLOOKUP(Tabla3[[#This Row],[Señal]],SEÑAL[#All],2,0),"")</f>
        <v/>
      </c>
      <c r="V81" s="13" t="str">
        <f>_xlfn.IFNA(VLOOKUP(Tabla3[[#This Row],[NUMERO]],SEÑAL[#All],2,0),"")</f>
        <v/>
      </c>
    </row>
    <row r="82" spans="1:22" x14ac:dyDescent="0.25">
      <c r="A82" s="25" t="s">
        <v>869</v>
      </c>
      <c r="B82" s="2" t="s">
        <v>8</v>
      </c>
      <c r="C82" s="2" t="s">
        <v>89</v>
      </c>
      <c r="D82" s="2" t="s">
        <v>110</v>
      </c>
      <c r="E82" s="2" t="s">
        <v>954</v>
      </c>
      <c r="G82" s="2" t="s">
        <v>162</v>
      </c>
      <c r="I82" s="2" t="s">
        <v>438</v>
      </c>
      <c r="J82"/>
      <c r="K82"/>
      <c r="L8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ETVMN.LATVMS.57_EST</v>
      </c>
      <c r="N82" s="13" t="str">
        <f>VLOOKUP(Tabla3[[#This Row],[Tipo]],TIPO[#All],2,0)</f>
        <v>ET</v>
      </c>
      <c r="O82" s="13" t="str">
        <f>VLOOKUP(Tabla3[[#This Row],[Lugar]],LUGAR[#All],2,0)</f>
        <v>VMN</v>
      </c>
      <c r="P82" s="13" t="str">
        <f>Tabla3[[#This Row],[SIGLAS]]</f>
        <v>LATVMS</v>
      </c>
      <c r="Q82" s="13" t="str">
        <f>_xlfn.IFNA(VLOOKUP(Tabla3[[#This Row],[Nivel de tension]],NIVEL[#All],2,0),"")</f>
        <v/>
      </c>
      <c r="R82" s="13" t="str">
        <f>_xlfn.IFNA(VLOOKUP(Tabla3[[#This Row],[DISPOSITIVO]],DISPOSITIVO[],2,0),"")</f>
        <v>57_</v>
      </c>
      <c r="S82" s="13" t="str">
        <f>_xlfn.IFNA(VLOOKUP(Tabla3[[#This Row],[PROTECCION SECUNDARIA]],PROTECCION_SECUNDARIA[],2,0),"")</f>
        <v/>
      </c>
      <c r="T82" s="13" t="str">
        <f>_xlfn.IFNA(VLOOKUP(Tabla3[[#This Row],[Que]],QUE[#All],2,0),"")</f>
        <v>EST</v>
      </c>
      <c r="U82" s="13" t="str">
        <f>_xlfn.IFNA(VLOOKUP(Tabla3[[#This Row],[Señal]],SEÑAL[#All],2,0),"")</f>
        <v/>
      </c>
      <c r="V82" s="13" t="str">
        <f>_xlfn.IFNA(VLOOKUP(Tabla3[[#This Row],[NUMERO]],SEÑAL[#All],2,0),"")</f>
        <v/>
      </c>
    </row>
    <row r="83" spans="1:22" x14ac:dyDescent="0.25">
      <c r="A83" s="25" t="s">
        <v>870</v>
      </c>
      <c r="B83" s="2" t="s">
        <v>8</v>
      </c>
      <c r="C83" s="2" t="s">
        <v>89</v>
      </c>
      <c r="D83" s="2" t="s">
        <v>110</v>
      </c>
      <c r="E83" s="2" t="s">
        <v>954</v>
      </c>
      <c r="G83" s="2" t="s">
        <v>318</v>
      </c>
      <c r="I83" s="2" t="s">
        <v>863</v>
      </c>
      <c r="J83"/>
      <c r="K83"/>
      <c r="L8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ETVMN.LATVMS.21_VCDO</v>
      </c>
      <c r="N83" s="13" t="str">
        <f>VLOOKUP(Tabla3[[#This Row],[Tipo]],TIPO[#All],2,0)</f>
        <v>ET</v>
      </c>
      <c r="O83" s="13" t="str">
        <f>VLOOKUP(Tabla3[[#This Row],[Lugar]],LUGAR[#All],2,0)</f>
        <v>VMN</v>
      </c>
      <c r="P83" s="13" t="str">
        <f>Tabla3[[#This Row],[SIGLAS]]</f>
        <v>LATVMS</v>
      </c>
      <c r="Q83" s="13" t="str">
        <f>_xlfn.IFNA(VLOOKUP(Tabla3[[#This Row],[Nivel de tension]],NIVEL[#All],2,0),"")</f>
        <v/>
      </c>
      <c r="R83" s="13" t="str">
        <f>_xlfn.IFNA(VLOOKUP(Tabla3[[#This Row],[DISPOSITIVO]],DISPOSITIVO[],2,0),"")</f>
        <v>21_</v>
      </c>
      <c r="S83" s="13" t="str">
        <f>_xlfn.IFNA(VLOOKUP(Tabla3[[#This Row],[PROTECCION SECUNDARIA]],PROTECCION_SECUNDARIA[],2,0),"")</f>
        <v/>
      </c>
      <c r="T83" s="13" t="str">
        <f>_xlfn.IFNA(VLOOKUP(Tabla3[[#This Row],[Que]],QUE[#All],2,0),"")</f>
        <v>VCDO</v>
      </c>
      <c r="U83" s="13" t="str">
        <f>_xlfn.IFNA(VLOOKUP(Tabla3[[#This Row],[Señal]],SEÑAL[#All],2,0),"")</f>
        <v/>
      </c>
      <c r="V83" s="13" t="str">
        <f>_xlfn.IFNA(VLOOKUP(Tabla3[[#This Row],[NUMERO]],SEÑAL[#All],2,0),"")</f>
        <v/>
      </c>
    </row>
    <row r="84" spans="1:22" x14ac:dyDescent="0.25">
      <c r="A84" s="25" t="s">
        <v>871</v>
      </c>
      <c r="B84" s="2" t="s">
        <v>8</v>
      </c>
      <c r="C84" s="2" t="s">
        <v>89</v>
      </c>
      <c r="D84" s="2" t="s">
        <v>110</v>
      </c>
      <c r="E84" s="2" t="s">
        <v>954</v>
      </c>
      <c r="G84" s="2" t="s">
        <v>318</v>
      </c>
      <c r="I84" s="2" t="s">
        <v>955</v>
      </c>
      <c r="J84"/>
      <c r="K84"/>
      <c r="L8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ETVMN.LATVMS.21_DISC_PO</v>
      </c>
      <c r="N84" s="13" t="str">
        <f>VLOOKUP(Tabla3[[#This Row],[Tipo]],TIPO[#All],2,0)</f>
        <v>ET</v>
      </c>
      <c r="O84" s="13" t="str">
        <f>VLOOKUP(Tabla3[[#This Row],[Lugar]],LUGAR[#All],2,0)</f>
        <v>VMN</v>
      </c>
      <c r="P84" s="13" t="str">
        <f>Tabla3[[#This Row],[SIGLAS]]</f>
        <v>LATVMS</v>
      </c>
      <c r="Q84" s="13" t="str">
        <f>_xlfn.IFNA(VLOOKUP(Tabla3[[#This Row],[Nivel de tension]],NIVEL[#All],2,0),"")</f>
        <v/>
      </c>
      <c r="R84" s="13" t="str">
        <f>_xlfn.IFNA(VLOOKUP(Tabla3[[#This Row],[DISPOSITIVO]],DISPOSITIVO[],2,0),"")</f>
        <v>21_</v>
      </c>
      <c r="S84" s="13" t="str">
        <f>_xlfn.IFNA(VLOOKUP(Tabla3[[#This Row],[PROTECCION SECUNDARIA]],PROTECCION_SECUNDARIA[],2,0),"")</f>
        <v/>
      </c>
      <c r="T84" s="13" t="str">
        <f>_xlfn.IFNA(VLOOKUP(Tabla3[[#This Row],[Que]],QUE[#All],2,0),"")</f>
        <v>DISC_PO</v>
      </c>
      <c r="U84" s="13" t="str">
        <f>_xlfn.IFNA(VLOOKUP(Tabla3[[#This Row],[Señal]],SEÑAL[#All],2,0),"")</f>
        <v/>
      </c>
      <c r="V84" s="13" t="str">
        <f>_xlfn.IFNA(VLOOKUP(Tabla3[[#This Row],[NUMERO]],SEÑAL[#All],2,0),"")</f>
        <v/>
      </c>
    </row>
    <row r="85" spans="1:22" x14ac:dyDescent="0.25">
      <c r="A85" s="25" t="s">
        <v>872</v>
      </c>
      <c r="B85" s="2" t="s">
        <v>8</v>
      </c>
      <c r="C85" s="2" t="s">
        <v>89</v>
      </c>
      <c r="D85" s="2" t="s">
        <v>110</v>
      </c>
      <c r="E85" s="2" t="s">
        <v>954</v>
      </c>
      <c r="I85" s="2" t="s">
        <v>848</v>
      </c>
      <c r="J85"/>
      <c r="K85"/>
      <c r="L8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ETVMN.LATVMS.LL</v>
      </c>
      <c r="N85" s="13" t="str">
        <f>VLOOKUP(Tabla3[[#This Row],[Tipo]],TIPO[#All],2,0)</f>
        <v>ET</v>
      </c>
      <c r="O85" s="13" t="str">
        <f>VLOOKUP(Tabla3[[#This Row],[Lugar]],LUGAR[#All],2,0)</f>
        <v>VMN</v>
      </c>
      <c r="P85" s="13" t="str">
        <f>Tabla3[[#This Row],[SIGLAS]]</f>
        <v>LATVMS</v>
      </c>
      <c r="Q85" s="13" t="str">
        <f>_xlfn.IFNA(VLOOKUP(Tabla3[[#This Row],[Nivel de tension]],NIVEL[#All],2,0),"")</f>
        <v/>
      </c>
      <c r="R85" s="13" t="str">
        <f>_xlfn.IFNA(VLOOKUP(Tabla3[[#This Row],[DISPOSITIVO]],DISPOSITIVO[],2,0),"")</f>
        <v/>
      </c>
      <c r="S85" s="13" t="str">
        <f>_xlfn.IFNA(VLOOKUP(Tabla3[[#This Row],[PROTECCION SECUNDARIA]],PROTECCION_SECUNDARIA[],2,0),"")</f>
        <v/>
      </c>
      <c r="T85" s="13" t="str">
        <f>_xlfn.IFNA(VLOOKUP(Tabla3[[#This Row],[Que]],QUE[#All],2,0),"")</f>
        <v>LL</v>
      </c>
      <c r="U85" s="13" t="str">
        <f>_xlfn.IFNA(VLOOKUP(Tabla3[[#This Row],[Señal]],SEÑAL[#All],2,0),"")</f>
        <v/>
      </c>
      <c r="V85" s="13" t="str">
        <f>_xlfn.IFNA(VLOOKUP(Tabla3[[#This Row],[NUMERO]],SEÑAL[#All],2,0),"")</f>
        <v/>
      </c>
    </row>
    <row r="86" spans="1:22" x14ac:dyDescent="0.25">
      <c r="A86" s="25" t="s">
        <v>873</v>
      </c>
      <c r="B86" s="2" t="s">
        <v>8</v>
      </c>
      <c r="C86" s="2" t="s">
        <v>89</v>
      </c>
      <c r="D86" s="2" t="s">
        <v>110</v>
      </c>
      <c r="E86" s="2" t="s">
        <v>954</v>
      </c>
      <c r="G86" s="2" t="s">
        <v>318</v>
      </c>
      <c r="I86" s="2" t="s">
        <v>403</v>
      </c>
      <c r="J86" t="s">
        <v>802</v>
      </c>
      <c r="K86"/>
      <c r="L8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ETVMN.LATVMS.21_ARSOTOF</v>
      </c>
      <c r="N86" s="13" t="str">
        <f>VLOOKUP(Tabla3[[#This Row],[Tipo]],TIPO[#All],2,0)</f>
        <v>ET</v>
      </c>
      <c r="O86" s="13" t="str">
        <f>VLOOKUP(Tabla3[[#This Row],[Lugar]],LUGAR[#All],2,0)</f>
        <v>VMN</v>
      </c>
      <c r="P86" s="13" t="str">
        <f>Tabla3[[#This Row],[SIGLAS]]</f>
        <v>LATVMS</v>
      </c>
      <c r="Q86" s="13" t="str">
        <f>_xlfn.IFNA(VLOOKUP(Tabla3[[#This Row],[Nivel de tension]],NIVEL[#All],2,0),"")</f>
        <v/>
      </c>
      <c r="R86" s="13" t="str">
        <f>_xlfn.IFNA(VLOOKUP(Tabla3[[#This Row],[DISPOSITIVO]],DISPOSITIVO[],2,0),"")</f>
        <v>21_</v>
      </c>
      <c r="S86" s="13" t="str">
        <f>_xlfn.IFNA(VLOOKUP(Tabla3[[#This Row],[PROTECCION SECUNDARIA]],PROTECCION_SECUNDARIA[],2,0),"")</f>
        <v/>
      </c>
      <c r="T86" s="13" t="str">
        <f>_xlfn.IFNA(VLOOKUP(Tabla3[[#This Row],[Que]],QUE[#All],2,0),"")</f>
        <v>AR</v>
      </c>
      <c r="U86" s="13" t="str">
        <f>_xlfn.IFNA(VLOOKUP(Tabla3[[#This Row],[Señal]],SEÑAL[#All],2,0),"")</f>
        <v>SOTOF</v>
      </c>
      <c r="V86" s="13" t="str">
        <f>_xlfn.IFNA(VLOOKUP(Tabla3[[#This Row],[NUMERO]],SEÑAL[#All],2,0),"")</f>
        <v/>
      </c>
    </row>
    <row r="87" spans="1:22" x14ac:dyDescent="0.25">
      <c r="A87" s="25" t="s">
        <v>874</v>
      </c>
      <c r="B87" s="2" t="s">
        <v>8</v>
      </c>
      <c r="C87" s="2" t="s">
        <v>89</v>
      </c>
      <c r="D87" s="2" t="s">
        <v>110</v>
      </c>
      <c r="E87" s="2" t="s">
        <v>954</v>
      </c>
      <c r="G87" s="2" t="s">
        <v>318</v>
      </c>
      <c r="I87" s="2" t="s">
        <v>403</v>
      </c>
      <c r="J87" t="s">
        <v>804</v>
      </c>
      <c r="K87"/>
      <c r="L8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ETVMN.LATVMS.21_ARSOTOF_R</v>
      </c>
      <c r="N87" s="13" t="str">
        <f>VLOOKUP(Tabla3[[#This Row],[Tipo]],TIPO[#All],2,0)</f>
        <v>ET</v>
      </c>
      <c r="O87" s="13" t="str">
        <f>VLOOKUP(Tabla3[[#This Row],[Lugar]],LUGAR[#All],2,0)</f>
        <v>VMN</v>
      </c>
      <c r="P87" s="13" t="str">
        <f>Tabla3[[#This Row],[SIGLAS]]</f>
        <v>LATVMS</v>
      </c>
      <c r="Q87" s="13" t="str">
        <f>_xlfn.IFNA(VLOOKUP(Tabla3[[#This Row],[Nivel de tension]],NIVEL[#All],2,0),"")</f>
        <v/>
      </c>
      <c r="R87" s="13" t="str">
        <f>_xlfn.IFNA(VLOOKUP(Tabla3[[#This Row],[DISPOSITIVO]],DISPOSITIVO[],2,0),"")</f>
        <v>21_</v>
      </c>
      <c r="S87" s="13" t="str">
        <f>_xlfn.IFNA(VLOOKUP(Tabla3[[#This Row],[PROTECCION SECUNDARIA]],PROTECCION_SECUNDARIA[],2,0),"")</f>
        <v/>
      </c>
      <c r="T87" s="13" t="str">
        <f>_xlfn.IFNA(VLOOKUP(Tabla3[[#This Row],[Que]],QUE[#All],2,0),"")</f>
        <v>AR</v>
      </c>
      <c r="U87" s="13" t="str">
        <f>_xlfn.IFNA(VLOOKUP(Tabla3[[#This Row],[Señal]],SEÑAL[#All],2,0),"")</f>
        <v>SOTOF_R</v>
      </c>
      <c r="V87" s="13" t="str">
        <f>_xlfn.IFNA(VLOOKUP(Tabla3[[#This Row],[NUMERO]],SEÑAL[#All],2,0),"")</f>
        <v/>
      </c>
    </row>
    <row r="88" spans="1:22" x14ac:dyDescent="0.25">
      <c r="A88" s="25" t="s">
        <v>875</v>
      </c>
      <c r="B88" s="2" t="s">
        <v>8</v>
      </c>
      <c r="C88" s="2" t="s">
        <v>89</v>
      </c>
      <c r="D88" s="2" t="s">
        <v>110</v>
      </c>
      <c r="E88" s="2" t="s">
        <v>954</v>
      </c>
      <c r="G88" s="2" t="s">
        <v>318</v>
      </c>
      <c r="I88" s="2" t="s">
        <v>403</v>
      </c>
      <c r="J88" t="s">
        <v>806</v>
      </c>
      <c r="K88"/>
      <c r="L8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ETVMN.LATVMS.21_ARSOTOF_S</v>
      </c>
      <c r="N88" s="13" t="str">
        <f>VLOOKUP(Tabla3[[#This Row],[Tipo]],TIPO[#All],2,0)</f>
        <v>ET</v>
      </c>
      <c r="O88" s="13" t="str">
        <f>VLOOKUP(Tabla3[[#This Row],[Lugar]],LUGAR[#All],2,0)</f>
        <v>VMN</v>
      </c>
      <c r="P88" s="13" t="str">
        <f>Tabla3[[#This Row],[SIGLAS]]</f>
        <v>LATVMS</v>
      </c>
      <c r="Q88" s="13" t="str">
        <f>_xlfn.IFNA(VLOOKUP(Tabla3[[#This Row],[Nivel de tension]],NIVEL[#All],2,0),"")</f>
        <v/>
      </c>
      <c r="R88" s="13" t="str">
        <f>_xlfn.IFNA(VLOOKUP(Tabla3[[#This Row],[DISPOSITIVO]],DISPOSITIVO[],2,0),"")</f>
        <v>21_</v>
      </c>
      <c r="S88" s="13" t="str">
        <f>_xlfn.IFNA(VLOOKUP(Tabla3[[#This Row],[PROTECCION SECUNDARIA]],PROTECCION_SECUNDARIA[],2,0),"")</f>
        <v/>
      </c>
      <c r="T88" s="13" t="str">
        <f>_xlfn.IFNA(VLOOKUP(Tabla3[[#This Row],[Que]],QUE[#All],2,0),"")</f>
        <v>AR</v>
      </c>
      <c r="U88" s="13" t="str">
        <f>_xlfn.IFNA(VLOOKUP(Tabla3[[#This Row],[Señal]],SEÑAL[#All],2,0),"")</f>
        <v>SOTOF_S</v>
      </c>
      <c r="V88" s="13" t="str">
        <f>_xlfn.IFNA(VLOOKUP(Tabla3[[#This Row],[NUMERO]],SEÑAL[#All],2,0),"")</f>
        <v/>
      </c>
    </row>
    <row r="89" spans="1:22" x14ac:dyDescent="0.25">
      <c r="A89" s="25" t="s">
        <v>876</v>
      </c>
      <c r="B89" s="2" t="s">
        <v>8</v>
      </c>
      <c r="C89" s="2" t="s">
        <v>89</v>
      </c>
      <c r="D89" s="2" t="s">
        <v>110</v>
      </c>
      <c r="E89" s="2" t="s">
        <v>954</v>
      </c>
      <c r="G89" s="2" t="s">
        <v>318</v>
      </c>
      <c r="I89" s="2" t="s">
        <v>403</v>
      </c>
      <c r="J89" t="s">
        <v>808</v>
      </c>
      <c r="K89"/>
      <c r="L8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ETVMN.LATVMS.21_ARSOTOF_T</v>
      </c>
      <c r="N89" s="13" t="str">
        <f>VLOOKUP(Tabla3[[#This Row],[Tipo]],TIPO[#All],2,0)</f>
        <v>ET</v>
      </c>
      <c r="O89" s="13" t="str">
        <f>VLOOKUP(Tabla3[[#This Row],[Lugar]],LUGAR[#All],2,0)</f>
        <v>VMN</v>
      </c>
      <c r="P89" s="13" t="str">
        <f>Tabla3[[#This Row],[SIGLAS]]</f>
        <v>LATVMS</v>
      </c>
      <c r="Q89" s="13" t="str">
        <f>_xlfn.IFNA(VLOOKUP(Tabla3[[#This Row],[Nivel de tension]],NIVEL[#All],2,0),"")</f>
        <v/>
      </c>
      <c r="R89" s="13" t="str">
        <f>_xlfn.IFNA(VLOOKUP(Tabla3[[#This Row],[DISPOSITIVO]],DISPOSITIVO[],2,0),"")</f>
        <v>21_</v>
      </c>
      <c r="S89" s="13" t="str">
        <f>_xlfn.IFNA(VLOOKUP(Tabla3[[#This Row],[PROTECCION SECUNDARIA]],PROTECCION_SECUNDARIA[],2,0),"")</f>
        <v/>
      </c>
      <c r="T89" s="13" t="str">
        <f>_xlfn.IFNA(VLOOKUP(Tabla3[[#This Row],[Que]],QUE[#All],2,0),"")</f>
        <v>AR</v>
      </c>
      <c r="U89" s="13" t="str">
        <f>_xlfn.IFNA(VLOOKUP(Tabla3[[#This Row],[Señal]],SEÑAL[#All],2,0),"")</f>
        <v>SOTOF_T</v>
      </c>
      <c r="V89" s="13" t="str">
        <f>_xlfn.IFNA(VLOOKUP(Tabla3[[#This Row],[NUMERO]],SEÑAL[#All],2,0),"")</f>
        <v/>
      </c>
    </row>
    <row r="90" spans="1:22" x14ac:dyDescent="0.25">
      <c r="A90" s="25" t="s">
        <v>877</v>
      </c>
      <c r="B90" s="2" t="s">
        <v>8</v>
      </c>
      <c r="C90" s="2" t="s">
        <v>89</v>
      </c>
      <c r="D90" s="2" t="s">
        <v>110</v>
      </c>
      <c r="E90" s="2" t="s">
        <v>954</v>
      </c>
      <c r="G90" s="2" t="s">
        <v>318</v>
      </c>
      <c r="J90" t="s">
        <v>802</v>
      </c>
      <c r="K90"/>
      <c r="L9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ETVMN.LATVMS.21_SOTOF</v>
      </c>
      <c r="N90" s="13" t="str">
        <f>VLOOKUP(Tabla3[[#This Row],[Tipo]],TIPO[#All],2,0)</f>
        <v>ET</v>
      </c>
      <c r="O90" s="13" t="str">
        <f>VLOOKUP(Tabla3[[#This Row],[Lugar]],LUGAR[#All],2,0)</f>
        <v>VMN</v>
      </c>
      <c r="P90" s="13" t="str">
        <f>Tabla3[[#This Row],[SIGLAS]]</f>
        <v>LATVMS</v>
      </c>
      <c r="Q90" s="13" t="str">
        <f>_xlfn.IFNA(VLOOKUP(Tabla3[[#This Row],[Nivel de tension]],NIVEL[#All],2,0),"")</f>
        <v/>
      </c>
      <c r="R90" s="13" t="str">
        <f>_xlfn.IFNA(VLOOKUP(Tabla3[[#This Row],[DISPOSITIVO]],DISPOSITIVO[],2,0),"")</f>
        <v>21_</v>
      </c>
      <c r="S90" s="13" t="str">
        <f>_xlfn.IFNA(VLOOKUP(Tabla3[[#This Row],[PROTECCION SECUNDARIA]],PROTECCION_SECUNDARIA[],2,0),"")</f>
        <v/>
      </c>
      <c r="T90" s="13" t="str">
        <f>_xlfn.IFNA(VLOOKUP(Tabla3[[#This Row],[Que]],QUE[#All],2,0),"")</f>
        <v/>
      </c>
      <c r="U90" s="13" t="str">
        <f>_xlfn.IFNA(VLOOKUP(Tabla3[[#This Row],[Señal]],SEÑAL[#All],2,0),"")</f>
        <v>SOTOF</v>
      </c>
      <c r="V90" s="13" t="str">
        <f>_xlfn.IFNA(VLOOKUP(Tabla3[[#This Row],[NUMERO]],SEÑAL[#All],2,0),"")</f>
        <v/>
      </c>
    </row>
    <row r="91" spans="1:22" x14ac:dyDescent="0.25">
      <c r="A91" s="25" t="s">
        <v>878</v>
      </c>
      <c r="B91" s="2" t="s">
        <v>8</v>
      </c>
      <c r="C91" s="2" t="s">
        <v>89</v>
      </c>
      <c r="D91" s="2" t="s">
        <v>110</v>
      </c>
      <c r="E91" s="2" t="s">
        <v>954</v>
      </c>
      <c r="G91" s="2" t="s">
        <v>318</v>
      </c>
      <c r="I91" s="2" t="s">
        <v>403</v>
      </c>
      <c r="J91"/>
      <c r="K91"/>
      <c r="L9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</v>
      </c>
      <c r="N91" s="13" t="str">
        <f>VLOOKUP(Tabla3[[#This Row],[Tipo]],TIPO[#All],2,0)</f>
        <v>ET</v>
      </c>
      <c r="O91" s="13" t="str">
        <f>VLOOKUP(Tabla3[[#This Row],[Lugar]],LUGAR[#All],2,0)</f>
        <v>VMN</v>
      </c>
      <c r="P91" s="13" t="str">
        <f>Tabla3[[#This Row],[SIGLAS]]</f>
        <v>LATVMS</v>
      </c>
      <c r="Q91" s="13" t="str">
        <f>_xlfn.IFNA(VLOOKUP(Tabla3[[#This Row],[Nivel de tension]],NIVEL[#All],2,0),"")</f>
        <v/>
      </c>
      <c r="R91" s="13" t="str">
        <f>_xlfn.IFNA(VLOOKUP(Tabla3[[#This Row],[DISPOSITIVO]],DISPOSITIVO[],2,0),"")</f>
        <v>21_</v>
      </c>
      <c r="S91" s="13" t="str">
        <f>_xlfn.IFNA(VLOOKUP(Tabla3[[#This Row],[PROTECCION SECUNDARIA]],PROTECCION_SECUNDARIA[],2,0),"")</f>
        <v/>
      </c>
      <c r="T91" s="13" t="str">
        <f>_xlfn.IFNA(VLOOKUP(Tabla3[[#This Row],[Que]],QUE[#All],2,0),"")</f>
        <v>AR</v>
      </c>
      <c r="U91" s="13" t="str">
        <f>_xlfn.IFNA(VLOOKUP(Tabla3[[#This Row],[Señal]],SEÑAL[#All],2,0),"")</f>
        <v/>
      </c>
      <c r="V91" s="13" t="str">
        <f>_xlfn.IFNA(VLOOKUP(Tabla3[[#This Row],[NUMERO]],SEÑAL[#All],2,0),"")</f>
        <v/>
      </c>
    </row>
    <row r="92" spans="1:22" x14ac:dyDescent="0.25">
      <c r="A92" s="25" t="s">
        <v>879</v>
      </c>
      <c r="B92" s="2" t="s">
        <v>8</v>
      </c>
      <c r="C92" s="2" t="s">
        <v>89</v>
      </c>
      <c r="D92" s="2" t="s">
        <v>110</v>
      </c>
      <c r="E92" s="2" t="s">
        <v>954</v>
      </c>
      <c r="G92" s="2" t="s">
        <v>318</v>
      </c>
      <c r="I92" s="2" t="s">
        <v>403</v>
      </c>
      <c r="J92" t="s">
        <v>611</v>
      </c>
      <c r="K92"/>
      <c r="L9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</v>
      </c>
      <c r="N92" s="13" t="str">
        <f>VLOOKUP(Tabla3[[#This Row],[Tipo]],TIPO[#All],2,0)</f>
        <v>ET</v>
      </c>
      <c r="O92" s="13" t="str">
        <f>VLOOKUP(Tabla3[[#This Row],[Lugar]],LUGAR[#All],2,0)</f>
        <v>VMN</v>
      </c>
      <c r="P92" s="13" t="str">
        <f>Tabla3[[#This Row],[SIGLAS]]</f>
        <v>LATVMS</v>
      </c>
      <c r="Q92" s="13" t="str">
        <f>_xlfn.IFNA(VLOOKUP(Tabla3[[#This Row],[Nivel de tension]],NIVEL[#All],2,0),"")</f>
        <v/>
      </c>
      <c r="R92" s="13" t="str">
        <f>_xlfn.IFNA(VLOOKUP(Tabla3[[#This Row],[DISPOSITIVO]],DISPOSITIVO[],2,0),"")</f>
        <v>21_</v>
      </c>
      <c r="S92" s="13" t="str">
        <f>_xlfn.IFNA(VLOOKUP(Tabla3[[#This Row],[PROTECCION SECUNDARIA]],PROTECCION_SECUNDARIA[],2,0),"")</f>
        <v/>
      </c>
      <c r="T92" s="13" t="str">
        <f>_xlfn.IFNA(VLOOKUP(Tabla3[[#This Row],[Que]],QUE[#All],2,0),"")</f>
        <v>AR</v>
      </c>
      <c r="U92" s="13" t="str">
        <f>_xlfn.IFNA(VLOOKUP(Tabla3[[#This Row],[Señal]],SEÑAL[#All],2,0),"")</f>
        <v>_R</v>
      </c>
      <c r="V92" s="13" t="str">
        <f>_xlfn.IFNA(VLOOKUP(Tabla3[[#This Row],[NUMERO]],SEÑAL[#All],2,0),"")</f>
        <v/>
      </c>
    </row>
    <row r="93" spans="1:22" x14ac:dyDescent="0.25">
      <c r="A93" s="25" t="s">
        <v>880</v>
      </c>
      <c r="B93" s="2" t="s">
        <v>8</v>
      </c>
      <c r="C93" s="2" t="s">
        <v>89</v>
      </c>
      <c r="D93" s="2" t="s">
        <v>110</v>
      </c>
      <c r="E93" s="2" t="s">
        <v>954</v>
      </c>
      <c r="G93" s="2" t="s">
        <v>318</v>
      </c>
      <c r="I93" s="2" t="s">
        <v>403</v>
      </c>
      <c r="J93" t="s">
        <v>634</v>
      </c>
      <c r="K93"/>
      <c r="L9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ETVMN.LATVMS.21_AR_S</v>
      </c>
      <c r="N93" s="13" t="str">
        <f>VLOOKUP(Tabla3[[#This Row],[Tipo]],TIPO[#All],2,0)</f>
        <v>ET</v>
      </c>
      <c r="O93" s="13" t="str">
        <f>VLOOKUP(Tabla3[[#This Row],[Lugar]],LUGAR[#All],2,0)</f>
        <v>VMN</v>
      </c>
      <c r="P93" s="13" t="str">
        <f>Tabla3[[#This Row],[SIGLAS]]</f>
        <v>LATVMS</v>
      </c>
      <c r="Q93" s="13" t="str">
        <f>_xlfn.IFNA(VLOOKUP(Tabla3[[#This Row],[Nivel de tension]],NIVEL[#All],2,0),"")</f>
        <v/>
      </c>
      <c r="R93" s="13" t="str">
        <f>_xlfn.IFNA(VLOOKUP(Tabla3[[#This Row],[DISPOSITIVO]],DISPOSITIVO[],2,0),"")</f>
        <v>21_</v>
      </c>
      <c r="S93" s="13" t="str">
        <f>_xlfn.IFNA(VLOOKUP(Tabla3[[#This Row],[PROTECCION SECUNDARIA]],PROTECCION_SECUNDARIA[],2,0),"")</f>
        <v/>
      </c>
      <c r="T93" s="13" t="str">
        <f>_xlfn.IFNA(VLOOKUP(Tabla3[[#This Row],[Que]],QUE[#All],2,0),"")</f>
        <v>AR</v>
      </c>
      <c r="U93" s="13" t="str">
        <f>_xlfn.IFNA(VLOOKUP(Tabla3[[#This Row],[Señal]],SEÑAL[#All],2,0),"")</f>
        <v>_S</v>
      </c>
      <c r="V93" s="13" t="str">
        <f>_xlfn.IFNA(VLOOKUP(Tabla3[[#This Row],[NUMERO]],SEÑAL[#All],2,0),"")</f>
        <v/>
      </c>
    </row>
    <row r="94" spans="1:22" x14ac:dyDescent="0.25">
      <c r="A94" s="25" t="s">
        <v>881</v>
      </c>
      <c r="B94" s="2" t="s">
        <v>8</v>
      </c>
      <c r="C94" s="2" t="s">
        <v>89</v>
      </c>
      <c r="D94" s="2" t="s">
        <v>110</v>
      </c>
      <c r="E94" s="2" t="s">
        <v>954</v>
      </c>
      <c r="G94" s="2" t="s">
        <v>318</v>
      </c>
      <c r="I94" s="2" t="s">
        <v>403</v>
      </c>
      <c r="J94" t="s">
        <v>647</v>
      </c>
      <c r="K94"/>
      <c r="L9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ETVMN.LATVMS.21_AR_T</v>
      </c>
      <c r="N94" s="13" t="str">
        <f>VLOOKUP(Tabla3[[#This Row],[Tipo]],TIPO[#All],2,0)</f>
        <v>ET</v>
      </c>
      <c r="O94" s="13" t="str">
        <f>VLOOKUP(Tabla3[[#This Row],[Lugar]],LUGAR[#All],2,0)</f>
        <v>VMN</v>
      </c>
      <c r="P94" s="13" t="str">
        <f>Tabla3[[#This Row],[SIGLAS]]</f>
        <v>LATVMS</v>
      </c>
      <c r="Q94" s="13" t="str">
        <f>_xlfn.IFNA(VLOOKUP(Tabla3[[#This Row],[Nivel de tension]],NIVEL[#All],2,0),"")</f>
        <v/>
      </c>
      <c r="R94" s="13" t="str">
        <f>_xlfn.IFNA(VLOOKUP(Tabla3[[#This Row],[DISPOSITIVO]],DISPOSITIVO[],2,0),"")</f>
        <v>21_</v>
      </c>
      <c r="S94" s="13" t="str">
        <f>_xlfn.IFNA(VLOOKUP(Tabla3[[#This Row],[PROTECCION SECUNDARIA]],PROTECCION_SECUNDARIA[],2,0),"")</f>
        <v/>
      </c>
      <c r="T94" s="13" t="str">
        <f>_xlfn.IFNA(VLOOKUP(Tabla3[[#This Row],[Que]],QUE[#All],2,0),"")</f>
        <v>AR</v>
      </c>
      <c r="U94" s="13" t="str">
        <f>_xlfn.IFNA(VLOOKUP(Tabla3[[#This Row],[Señal]],SEÑAL[#All],2,0),"")</f>
        <v>_T</v>
      </c>
      <c r="V94" s="13" t="str">
        <f>_xlfn.IFNA(VLOOKUP(Tabla3[[#This Row],[NUMERO]],SEÑAL[#All],2,0),"")</f>
        <v/>
      </c>
    </row>
    <row r="95" spans="1:22" x14ac:dyDescent="0.25">
      <c r="A95" s="25" t="s">
        <v>882</v>
      </c>
      <c r="B95" s="2" t="s">
        <v>8</v>
      </c>
      <c r="C95" s="2" t="s">
        <v>89</v>
      </c>
      <c r="D95" s="2" t="s">
        <v>110</v>
      </c>
      <c r="E95" s="2" t="s">
        <v>954</v>
      </c>
      <c r="G95" s="2" t="s">
        <v>318</v>
      </c>
      <c r="I95" s="2" t="s">
        <v>403</v>
      </c>
      <c r="J95" t="s">
        <v>599</v>
      </c>
      <c r="K95"/>
      <c r="L9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ETVMN.LATVMS.21_AR_N</v>
      </c>
      <c r="N95" s="13" t="str">
        <f>VLOOKUP(Tabla3[[#This Row],[Tipo]],TIPO[#All],2,0)</f>
        <v>ET</v>
      </c>
      <c r="O95" s="13" t="str">
        <f>VLOOKUP(Tabla3[[#This Row],[Lugar]],LUGAR[#All],2,0)</f>
        <v>VMN</v>
      </c>
      <c r="P95" s="13" t="str">
        <f>Tabla3[[#This Row],[SIGLAS]]</f>
        <v>LATVMS</v>
      </c>
      <c r="Q95" s="13" t="str">
        <f>_xlfn.IFNA(VLOOKUP(Tabla3[[#This Row],[Nivel de tension]],NIVEL[#All],2,0),"")</f>
        <v/>
      </c>
      <c r="R95" s="13" t="str">
        <f>_xlfn.IFNA(VLOOKUP(Tabla3[[#This Row],[DISPOSITIVO]],DISPOSITIVO[],2,0),"")</f>
        <v>21_</v>
      </c>
      <c r="S95" s="13" t="str">
        <f>_xlfn.IFNA(VLOOKUP(Tabla3[[#This Row],[PROTECCION SECUNDARIA]],PROTECCION_SECUNDARIA[],2,0),"")</f>
        <v/>
      </c>
      <c r="T95" s="13" t="str">
        <f>_xlfn.IFNA(VLOOKUP(Tabla3[[#This Row],[Que]],QUE[#All],2,0),"")</f>
        <v>AR</v>
      </c>
      <c r="U95" s="13" t="str">
        <f>_xlfn.IFNA(VLOOKUP(Tabla3[[#This Row],[Señal]],SEÑAL[#All],2,0),"")</f>
        <v>_N</v>
      </c>
      <c r="V95" s="13" t="str">
        <f>_xlfn.IFNA(VLOOKUP(Tabla3[[#This Row],[NUMERO]],SEÑAL[#All],2,0),"")</f>
        <v/>
      </c>
    </row>
    <row r="96" spans="1:22" x14ac:dyDescent="0.25">
      <c r="A96" s="25" t="s">
        <v>883</v>
      </c>
      <c r="B96" s="2" t="s">
        <v>8</v>
      </c>
      <c r="C96" s="2" t="s">
        <v>89</v>
      </c>
      <c r="D96" s="2" t="s">
        <v>110</v>
      </c>
      <c r="E96" s="2" t="s">
        <v>954</v>
      </c>
      <c r="G96" s="2" t="s">
        <v>318</v>
      </c>
      <c r="I96" s="2" t="s">
        <v>403</v>
      </c>
      <c r="J96" t="s">
        <v>789</v>
      </c>
      <c r="K96"/>
      <c r="L9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ETVMN.LATVMS.21_ARSOLO_R</v>
      </c>
      <c r="N96" s="13" t="str">
        <f>VLOOKUP(Tabla3[[#This Row],[Tipo]],TIPO[#All],2,0)</f>
        <v>ET</v>
      </c>
      <c r="O96" s="13" t="str">
        <f>VLOOKUP(Tabla3[[#This Row],[Lugar]],LUGAR[#All],2,0)</f>
        <v>VMN</v>
      </c>
      <c r="P96" s="13" t="str">
        <f>Tabla3[[#This Row],[SIGLAS]]</f>
        <v>LATVMS</v>
      </c>
      <c r="Q96" s="13" t="str">
        <f>_xlfn.IFNA(VLOOKUP(Tabla3[[#This Row],[Nivel de tension]],NIVEL[#All],2,0),"")</f>
        <v/>
      </c>
      <c r="R96" s="13" t="str">
        <f>_xlfn.IFNA(VLOOKUP(Tabla3[[#This Row],[DISPOSITIVO]],DISPOSITIVO[],2,0),"")</f>
        <v>21_</v>
      </c>
      <c r="S96" s="13" t="str">
        <f>_xlfn.IFNA(VLOOKUP(Tabla3[[#This Row],[PROTECCION SECUNDARIA]],PROTECCION_SECUNDARIA[],2,0),"")</f>
        <v/>
      </c>
      <c r="T96" s="13" t="str">
        <f>_xlfn.IFNA(VLOOKUP(Tabla3[[#This Row],[Que]],QUE[#All],2,0),"")</f>
        <v>AR</v>
      </c>
      <c r="U96" s="13" t="str">
        <f>_xlfn.IFNA(VLOOKUP(Tabla3[[#This Row],[Señal]],SEÑAL[#All],2,0),"")</f>
        <v>SOLO_R</v>
      </c>
      <c r="V96" s="13" t="str">
        <f>_xlfn.IFNA(VLOOKUP(Tabla3[[#This Row],[NUMERO]],SEÑAL[#All],2,0),"")</f>
        <v/>
      </c>
    </row>
    <row r="97" spans="1:22" x14ac:dyDescent="0.25">
      <c r="A97" s="25" t="s">
        <v>884</v>
      </c>
      <c r="B97" s="2" t="s">
        <v>8</v>
      </c>
      <c r="C97" s="2" t="s">
        <v>89</v>
      </c>
      <c r="D97" s="2" t="s">
        <v>110</v>
      </c>
      <c r="E97" s="2" t="s">
        <v>954</v>
      </c>
      <c r="G97" s="2" t="s">
        <v>318</v>
      </c>
      <c r="I97" s="2" t="s">
        <v>403</v>
      </c>
      <c r="J97" t="s">
        <v>616</v>
      </c>
      <c r="K97"/>
      <c r="L9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ETVMN.LATVMS.21_AR_RN</v>
      </c>
      <c r="N97" s="13" t="str">
        <f>VLOOKUP(Tabla3[[#This Row],[Tipo]],TIPO[#All],2,0)</f>
        <v>ET</v>
      </c>
      <c r="O97" s="13" t="str">
        <f>VLOOKUP(Tabla3[[#This Row],[Lugar]],LUGAR[#All],2,0)</f>
        <v>VMN</v>
      </c>
      <c r="P97" s="13" t="str">
        <f>Tabla3[[#This Row],[SIGLAS]]</f>
        <v>LATVMS</v>
      </c>
      <c r="Q97" s="13" t="str">
        <f>_xlfn.IFNA(VLOOKUP(Tabla3[[#This Row],[Nivel de tension]],NIVEL[#All],2,0),"")</f>
        <v/>
      </c>
      <c r="R97" s="13" t="str">
        <f>_xlfn.IFNA(VLOOKUP(Tabla3[[#This Row],[DISPOSITIVO]],DISPOSITIVO[],2,0),"")</f>
        <v>21_</v>
      </c>
      <c r="S97" s="13" t="str">
        <f>_xlfn.IFNA(VLOOKUP(Tabla3[[#This Row],[PROTECCION SECUNDARIA]],PROTECCION_SECUNDARIA[],2,0),"")</f>
        <v/>
      </c>
      <c r="T97" s="13" t="str">
        <f>_xlfn.IFNA(VLOOKUP(Tabla3[[#This Row],[Que]],QUE[#All],2,0),"")</f>
        <v>AR</v>
      </c>
      <c r="U97" s="13" t="str">
        <f>_xlfn.IFNA(VLOOKUP(Tabla3[[#This Row],[Señal]],SEÑAL[#All],2,0),"")</f>
        <v>_RN</v>
      </c>
      <c r="V97" s="13" t="str">
        <f>_xlfn.IFNA(VLOOKUP(Tabla3[[#This Row],[NUMERO]],SEÑAL[#All],2,0),"")</f>
        <v/>
      </c>
    </row>
    <row r="98" spans="1:22" x14ac:dyDescent="0.25">
      <c r="A98" s="25" t="s">
        <v>885</v>
      </c>
      <c r="B98" s="2" t="s">
        <v>8</v>
      </c>
      <c r="C98" s="2" t="s">
        <v>89</v>
      </c>
      <c r="D98" s="2" t="s">
        <v>110</v>
      </c>
      <c r="E98" s="2" t="s">
        <v>954</v>
      </c>
      <c r="G98" s="2" t="s">
        <v>318</v>
      </c>
      <c r="I98" s="2" t="s">
        <v>403</v>
      </c>
      <c r="J98" t="s">
        <v>791</v>
      </c>
      <c r="K98"/>
      <c r="L9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ETVMN.LATVMS.21_ARSOLO_S</v>
      </c>
      <c r="N98" s="13" t="str">
        <f>VLOOKUP(Tabla3[[#This Row],[Tipo]],TIPO[#All],2,0)</f>
        <v>ET</v>
      </c>
      <c r="O98" s="13" t="str">
        <f>VLOOKUP(Tabla3[[#This Row],[Lugar]],LUGAR[#All],2,0)</f>
        <v>VMN</v>
      </c>
      <c r="P98" s="13" t="str">
        <f>Tabla3[[#This Row],[SIGLAS]]</f>
        <v>LATVMS</v>
      </c>
      <c r="Q98" s="13" t="str">
        <f>_xlfn.IFNA(VLOOKUP(Tabla3[[#This Row],[Nivel de tension]],NIVEL[#All],2,0),"")</f>
        <v/>
      </c>
      <c r="R98" s="13" t="str">
        <f>_xlfn.IFNA(VLOOKUP(Tabla3[[#This Row],[DISPOSITIVO]],DISPOSITIVO[],2,0),"")</f>
        <v>21_</v>
      </c>
      <c r="S98" s="13" t="str">
        <f>_xlfn.IFNA(VLOOKUP(Tabla3[[#This Row],[PROTECCION SECUNDARIA]],PROTECCION_SECUNDARIA[],2,0),"")</f>
        <v/>
      </c>
      <c r="T98" s="13" t="str">
        <f>_xlfn.IFNA(VLOOKUP(Tabla3[[#This Row],[Que]],QUE[#All],2,0),"")</f>
        <v>AR</v>
      </c>
      <c r="U98" s="13" t="str">
        <f>_xlfn.IFNA(VLOOKUP(Tabla3[[#This Row],[Señal]],SEÑAL[#All],2,0),"")</f>
        <v>SOLO_S</v>
      </c>
      <c r="V98" s="13" t="str">
        <f>_xlfn.IFNA(VLOOKUP(Tabla3[[#This Row],[NUMERO]],SEÑAL[#All],2,0),"")</f>
        <v/>
      </c>
    </row>
    <row r="99" spans="1:22" x14ac:dyDescent="0.25">
      <c r="A99" s="25" t="s">
        <v>886</v>
      </c>
      <c r="B99" s="2" t="s">
        <v>8</v>
      </c>
      <c r="C99" s="2" t="s">
        <v>89</v>
      </c>
      <c r="D99" s="2" t="s">
        <v>110</v>
      </c>
      <c r="E99" s="2" t="s">
        <v>954</v>
      </c>
      <c r="G99" s="2" t="s">
        <v>318</v>
      </c>
      <c r="I99" s="2" t="s">
        <v>403</v>
      </c>
      <c r="J99" t="s">
        <v>640</v>
      </c>
      <c r="K99"/>
      <c r="L9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ETVMN.LATVMS.21_AR_SN</v>
      </c>
      <c r="N99" s="13" t="str">
        <f>VLOOKUP(Tabla3[[#This Row],[Tipo]],TIPO[#All],2,0)</f>
        <v>ET</v>
      </c>
      <c r="O99" s="13" t="str">
        <f>VLOOKUP(Tabla3[[#This Row],[Lugar]],LUGAR[#All],2,0)</f>
        <v>VMN</v>
      </c>
      <c r="P99" s="13" t="str">
        <f>Tabla3[[#This Row],[SIGLAS]]</f>
        <v>LATVMS</v>
      </c>
      <c r="Q99" s="13" t="str">
        <f>_xlfn.IFNA(VLOOKUP(Tabla3[[#This Row],[Nivel de tension]],NIVEL[#All],2,0),"")</f>
        <v/>
      </c>
      <c r="R99" s="13" t="str">
        <f>_xlfn.IFNA(VLOOKUP(Tabla3[[#This Row],[DISPOSITIVO]],DISPOSITIVO[],2,0),"")</f>
        <v>21_</v>
      </c>
      <c r="S99" s="13" t="str">
        <f>_xlfn.IFNA(VLOOKUP(Tabla3[[#This Row],[PROTECCION SECUNDARIA]],PROTECCION_SECUNDARIA[],2,0),"")</f>
        <v/>
      </c>
      <c r="T99" s="13" t="str">
        <f>_xlfn.IFNA(VLOOKUP(Tabla3[[#This Row],[Que]],QUE[#All],2,0),"")</f>
        <v>AR</v>
      </c>
      <c r="U99" s="13" t="str">
        <f>_xlfn.IFNA(VLOOKUP(Tabla3[[#This Row],[Señal]],SEÑAL[#All],2,0),"")</f>
        <v>_SN</v>
      </c>
      <c r="V99" s="13" t="str">
        <f>_xlfn.IFNA(VLOOKUP(Tabla3[[#This Row],[NUMERO]],SEÑAL[#All],2,0),"")</f>
        <v/>
      </c>
    </row>
    <row r="100" spans="1:22" x14ac:dyDescent="0.25">
      <c r="A100" s="25" t="s">
        <v>887</v>
      </c>
      <c r="B100" s="2" t="s">
        <v>8</v>
      </c>
      <c r="C100" s="2" t="s">
        <v>89</v>
      </c>
      <c r="D100" s="2" t="s">
        <v>110</v>
      </c>
      <c r="E100" s="2" t="s">
        <v>954</v>
      </c>
      <c r="G100" s="2" t="s">
        <v>318</v>
      </c>
      <c r="I100" s="2" t="s">
        <v>403</v>
      </c>
      <c r="J100" t="s">
        <v>620</v>
      </c>
      <c r="K100"/>
      <c r="L10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ETVMN.LATVMS.21_AR_RS</v>
      </c>
      <c r="N100" s="13" t="str">
        <f>VLOOKUP(Tabla3[[#This Row],[Tipo]],TIPO[#All],2,0)</f>
        <v>ET</v>
      </c>
      <c r="O100" s="13" t="str">
        <f>VLOOKUP(Tabla3[[#This Row],[Lugar]],LUGAR[#All],2,0)</f>
        <v>VMN</v>
      </c>
      <c r="P100" s="13" t="str">
        <f>Tabla3[[#This Row],[SIGLAS]]</f>
        <v>LATVMS</v>
      </c>
      <c r="Q100" s="13" t="str">
        <f>_xlfn.IFNA(VLOOKUP(Tabla3[[#This Row],[Nivel de tension]],NIVEL[#All],2,0),"")</f>
        <v/>
      </c>
      <c r="R100" s="13" t="str">
        <f>_xlfn.IFNA(VLOOKUP(Tabla3[[#This Row],[DISPOSITIVO]],DISPOSITIVO[],2,0),"")</f>
        <v>21_</v>
      </c>
      <c r="S100" s="13" t="str">
        <f>_xlfn.IFNA(VLOOKUP(Tabla3[[#This Row],[PROTECCION SECUNDARIA]],PROTECCION_SECUNDARIA[],2,0),"")</f>
        <v/>
      </c>
      <c r="T100" s="13" t="str">
        <f>_xlfn.IFNA(VLOOKUP(Tabla3[[#This Row],[Que]],QUE[#All],2,0),"")</f>
        <v>AR</v>
      </c>
      <c r="U100" s="13" t="str">
        <f>_xlfn.IFNA(VLOOKUP(Tabla3[[#This Row],[Señal]],SEÑAL[#All],2,0),"")</f>
        <v>_RS</v>
      </c>
      <c r="V100" s="13" t="str">
        <f>_xlfn.IFNA(VLOOKUP(Tabla3[[#This Row],[NUMERO]],SEÑAL[#All],2,0),"")</f>
        <v/>
      </c>
    </row>
    <row r="101" spans="1:22" x14ac:dyDescent="0.25">
      <c r="A101" s="25" t="s">
        <v>888</v>
      </c>
      <c r="B101" s="2" t="s">
        <v>8</v>
      </c>
      <c r="C101" s="2" t="s">
        <v>89</v>
      </c>
      <c r="D101" s="2" t="s">
        <v>110</v>
      </c>
      <c r="E101" s="2" t="s">
        <v>954</v>
      </c>
      <c r="G101" s="2" t="s">
        <v>318</v>
      </c>
      <c r="I101" s="2" t="s">
        <v>403</v>
      </c>
      <c r="J101" t="s">
        <v>622</v>
      </c>
      <c r="K101"/>
      <c r="L10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ETVMN.LATVMS.21_AR_RSN</v>
      </c>
      <c r="N101" s="13" t="str">
        <f>VLOOKUP(Tabla3[[#This Row],[Tipo]],TIPO[#All],2,0)</f>
        <v>ET</v>
      </c>
      <c r="O101" s="13" t="str">
        <f>VLOOKUP(Tabla3[[#This Row],[Lugar]],LUGAR[#All],2,0)</f>
        <v>VMN</v>
      </c>
      <c r="P101" s="13" t="str">
        <f>Tabla3[[#This Row],[SIGLAS]]</f>
        <v>LATVMS</v>
      </c>
      <c r="Q101" s="13" t="str">
        <f>_xlfn.IFNA(VLOOKUP(Tabla3[[#This Row],[Nivel de tension]],NIVEL[#All],2,0),"")</f>
        <v/>
      </c>
      <c r="R101" s="13" t="str">
        <f>_xlfn.IFNA(VLOOKUP(Tabla3[[#This Row],[DISPOSITIVO]],DISPOSITIVO[],2,0),"")</f>
        <v>21_</v>
      </c>
      <c r="S101" s="13" t="str">
        <f>_xlfn.IFNA(VLOOKUP(Tabla3[[#This Row],[PROTECCION SECUNDARIA]],PROTECCION_SECUNDARIA[],2,0),"")</f>
        <v/>
      </c>
      <c r="T101" s="13" t="str">
        <f>_xlfn.IFNA(VLOOKUP(Tabla3[[#This Row],[Que]],QUE[#All],2,0),"")</f>
        <v>AR</v>
      </c>
      <c r="U101" s="13" t="str">
        <f>_xlfn.IFNA(VLOOKUP(Tabla3[[#This Row],[Señal]],SEÑAL[#All],2,0),"")</f>
        <v>_RSN</v>
      </c>
      <c r="V101" s="13" t="str">
        <f>_xlfn.IFNA(VLOOKUP(Tabla3[[#This Row],[NUMERO]],SEÑAL[#All],2,0),"")</f>
        <v/>
      </c>
    </row>
    <row r="102" spans="1:22" x14ac:dyDescent="0.25">
      <c r="A102" s="25" t="s">
        <v>889</v>
      </c>
      <c r="B102" s="2" t="s">
        <v>8</v>
      </c>
      <c r="C102" s="2" t="s">
        <v>89</v>
      </c>
      <c r="D102" s="2" t="s">
        <v>110</v>
      </c>
      <c r="E102" s="2" t="s">
        <v>954</v>
      </c>
      <c r="G102" s="2" t="s">
        <v>318</v>
      </c>
      <c r="I102" s="2" t="s">
        <v>403</v>
      </c>
      <c r="J102" t="s">
        <v>793</v>
      </c>
      <c r="K102"/>
      <c r="L10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ETVMN.LATVMS.21_ARSOLO_T</v>
      </c>
      <c r="N102" s="13" t="str">
        <f>VLOOKUP(Tabla3[[#This Row],[Tipo]],TIPO[#All],2,0)</f>
        <v>ET</v>
      </c>
      <c r="O102" s="13" t="str">
        <f>VLOOKUP(Tabla3[[#This Row],[Lugar]],LUGAR[#All],2,0)</f>
        <v>VMN</v>
      </c>
      <c r="P102" s="13" t="str">
        <f>Tabla3[[#This Row],[SIGLAS]]</f>
        <v>LATVMS</v>
      </c>
      <c r="Q102" s="13" t="str">
        <f>_xlfn.IFNA(VLOOKUP(Tabla3[[#This Row],[Nivel de tension]],NIVEL[#All],2,0),"")</f>
        <v/>
      </c>
      <c r="R102" s="13" t="str">
        <f>_xlfn.IFNA(VLOOKUP(Tabla3[[#This Row],[DISPOSITIVO]],DISPOSITIVO[],2,0),"")</f>
        <v>21_</v>
      </c>
      <c r="S102" s="13" t="str">
        <f>_xlfn.IFNA(VLOOKUP(Tabla3[[#This Row],[PROTECCION SECUNDARIA]],PROTECCION_SECUNDARIA[],2,0),"")</f>
        <v/>
      </c>
      <c r="T102" s="13" t="str">
        <f>_xlfn.IFNA(VLOOKUP(Tabla3[[#This Row],[Que]],QUE[#All],2,0),"")</f>
        <v>AR</v>
      </c>
      <c r="U102" s="13" t="str">
        <f>_xlfn.IFNA(VLOOKUP(Tabla3[[#This Row],[Señal]],SEÑAL[#All],2,0),"")</f>
        <v>SOLO_T</v>
      </c>
      <c r="V102" s="13" t="str">
        <f>_xlfn.IFNA(VLOOKUP(Tabla3[[#This Row],[NUMERO]],SEÑAL[#All],2,0),"")</f>
        <v/>
      </c>
    </row>
    <row r="103" spans="1:22" x14ac:dyDescent="0.25">
      <c r="A103" s="25" t="s">
        <v>890</v>
      </c>
      <c r="B103" s="2" t="s">
        <v>8</v>
      </c>
      <c r="C103" s="2" t="s">
        <v>89</v>
      </c>
      <c r="D103" s="2" t="s">
        <v>110</v>
      </c>
      <c r="E103" s="2" t="s">
        <v>954</v>
      </c>
      <c r="G103" s="2" t="s">
        <v>318</v>
      </c>
      <c r="I103" s="2" t="s">
        <v>403</v>
      </c>
      <c r="J103" t="s">
        <v>650</v>
      </c>
      <c r="K103"/>
      <c r="L10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ETVMN.LATVMS.21_AR_TN</v>
      </c>
      <c r="N103" s="13" t="str">
        <f>VLOOKUP(Tabla3[[#This Row],[Tipo]],TIPO[#All],2,0)</f>
        <v>ET</v>
      </c>
      <c r="O103" s="13" t="str">
        <f>VLOOKUP(Tabla3[[#This Row],[Lugar]],LUGAR[#All],2,0)</f>
        <v>VMN</v>
      </c>
      <c r="P103" s="13" t="str">
        <f>Tabla3[[#This Row],[SIGLAS]]</f>
        <v>LATVMS</v>
      </c>
      <c r="Q103" s="13" t="str">
        <f>_xlfn.IFNA(VLOOKUP(Tabla3[[#This Row],[Nivel de tension]],NIVEL[#All],2,0),"")</f>
        <v/>
      </c>
      <c r="R103" s="13" t="str">
        <f>_xlfn.IFNA(VLOOKUP(Tabla3[[#This Row],[DISPOSITIVO]],DISPOSITIVO[],2,0),"")</f>
        <v>21_</v>
      </c>
      <c r="S103" s="13" t="str">
        <f>_xlfn.IFNA(VLOOKUP(Tabla3[[#This Row],[PROTECCION SECUNDARIA]],PROTECCION_SECUNDARIA[],2,0),"")</f>
        <v/>
      </c>
      <c r="T103" s="13" t="str">
        <f>_xlfn.IFNA(VLOOKUP(Tabla3[[#This Row],[Que]],QUE[#All],2,0),"")</f>
        <v>AR</v>
      </c>
      <c r="U103" s="13" t="str">
        <f>_xlfn.IFNA(VLOOKUP(Tabla3[[#This Row],[Señal]],SEÑAL[#All],2,0),"")</f>
        <v>_TN</v>
      </c>
      <c r="V103" s="13" t="str">
        <f>_xlfn.IFNA(VLOOKUP(Tabla3[[#This Row],[NUMERO]],SEÑAL[#All],2,0),"")</f>
        <v/>
      </c>
    </row>
    <row r="104" spans="1:22" x14ac:dyDescent="0.25">
      <c r="A104" s="25" t="s">
        <v>891</v>
      </c>
      <c r="B104" s="2" t="s">
        <v>8</v>
      </c>
      <c r="C104" s="2" t="s">
        <v>89</v>
      </c>
      <c r="D104" s="2" t="s">
        <v>110</v>
      </c>
      <c r="E104" s="2" t="s">
        <v>954</v>
      </c>
      <c r="G104" s="2" t="s">
        <v>318</v>
      </c>
      <c r="I104" s="2" t="s">
        <v>403</v>
      </c>
      <c r="J104" t="s">
        <v>652</v>
      </c>
      <c r="K104"/>
      <c r="L10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ETVMN.LATVMS.21_AR_TR</v>
      </c>
      <c r="N104" s="13" t="str">
        <f>VLOOKUP(Tabla3[[#This Row],[Tipo]],TIPO[#All],2,0)</f>
        <v>ET</v>
      </c>
      <c r="O104" s="13" t="str">
        <f>VLOOKUP(Tabla3[[#This Row],[Lugar]],LUGAR[#All],2,0)</f>
        <v>VMN</v>
      </c>
      <c r="P104" s="13" t="str">
        <f>Tabla3[[#This Row],[SIGLAS]]</f>
        <v>LATVMS</v>
      </c>
      <c r="Q104" s="13" t="str">
        <f>_xlfn.IFNA(VLOOKUP(Tabla3[[#This Row],[Nivel de tension]],NIVEL[#All],2,0),"")</f>
        <v/>
      </c>
      <c r="R104" s="13" t="str">
        <f>_xlfn.IFNA(VLOOKUP(Tabla3[[#This Row],[DISPOSITIVO]],DISPOSITIVO[],2,0),"")</f>
        <v>21_</v>
      </c>
      <c r="S104" s="13" t="str">
        <f>_xlfn.IFNA(VLOOKUP(Tabla3[[#This Row],[PROTECCION SECUNDARIA]],PROTECCION_SECUNDARIA[],2,0),"")</f>
        <v/>
      </c>
      <c r="T104" s="13" t="str">
        <f>_xlfn.IFNA(VLOOKUP(Tabla3[[#This Row],[Que]],QUE[#All],2,0),"")</f>
        <v>AR</v>
      </c>
      <c r="U104" s="13" t="str">
        <f>_xlfn.IFNA(VLOOKUP(Tabla3[[#This Row],[Señal]],SEÑAL[#All],2,0),"")</f>
        <v>_TR</v>
      </c>
      <c r="V104" s="13" t="str">
        <f>_xlfn.IFNA(VLOOKUP(Tabla3[[#This Row],[NUMERO]],SEÑAL[#All],2,0),"")</f>
        <v/>
      </c>
    </row>
    <row r="105" spans="1:22" x14ac:dyDescent="0.25">
      <c r="A105" s="25" t="s">
        <v>892</v>
      </c>
      <c r="B105" s="2" t="s">
        <v>8</v>
      </c>
      <c r="C105" s="2" t="s">
        <v>89</v>
      </c>
      <c r="D105" s="2" t="s">
        <v>110</v>
      </c>
      <c r="E105" s="2" t="s">
        <v>954</v>
      </c>
      <c r="G105" s="2" t="s">
        <v>318</v>
      </c>
      <c r="I105" s="2" t="s">
        <v>403</v>
      </c>
      <c r="J105" t="s">
        <v>628</v>
      </c>
      <c r="K105"/>
      <c r="L10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ETVMN.LATVMS.21_AR_RTN</v>
      </c>
      <c r="N105" s="13" t="str">
        <f>VLOOKUP(Tabla3[[#This Row],[Tipo]],TIPO[#All],2,0)</f>
        <v>ET</v>
      </c>
      <c r="O105" s="13" t="str">
        <f>VLOOKUP(Tabla3[[#This Row],[Lugar]],LUGAR[#All],2,0)</f>
        <v>VMN</v>
      </c>
      <c r="P105" s="13" t="str">
        <f>Tabla3[[#This Row],[SIGLAS]]</f>
        <v>LATVMS</v>
      </c>
      <c r="Q105" s="13" t="str">
        <f>_xlfn.IFNA(VLOOKUP(Tabla3[[#This Row],[Nivel de tension]],NIVEL[#All],2,0),"")</f>
        <v/>
      </c>
      <c r="R105" s="13" t="str">
        <f>_xlfn.IFNA(VLOOKUP(Tabla3[[#This Row],[DISPOSITIVO]],DISPOSITIVO[],2,0),"")</f>
        <v>21_</v>
      </c>
      <c r="S105" s="13" t="str">
        <f>_xlfn.IFNA(VLOOKUP(Tabla3[[#This Row],[PROTECCION SECUNDARIA]],PROTECCION_SECUNDARIA[],2,0),"")</f>
        <v/>
      </c>
      <c r="T105" s="13" t="str">
        <f>_xlfn.IFNA(VLOOKUP(Tabla3[[#This Row],[Que]],QUE[#All],2,0),"")</f>
        <v>AR</v>
      </c>
      <c r="U105" s="13" t="str">
        <f>_xlfn.IFNA(VLOOKUP(Tabla3[[#This Row],[Señal]],SEÑAL[#All],2,0),"")</f>
        <v>_RTN</v>
      </c>
      <c r="V105" s="13" t="str">
        <f>_xlfn.IFNA(VLOOKUP(Tabla3[[#This Row],[NUMERO]],SEÑAL[#All],2,0),"")</f>
        <v/>
      </c>
    </row>
    <row r="106" spans="1:22" x14ac:dyDescent="0.25">
      <c r="A106" s="25" t="s">
        <v>893</v>
      </c>
      <c r="B106" s="2" t="s">
        <v>8</v>
      </c>
      <c r="C106" s="2" t="s">
        <v>89</v>
      </c>
      <c r="D106" s="2" t="s">
        <v>110</v>
      </c>
      <c r="E106" s="2" t="s">
        <v>954</v>
      </c>
      <c r="G106" s="2" t="s">
        <v>318</v>
      </c>
      <c r="I106" s="2" t="s">
        <v>403</v>
      </c>
      <c r="J106" t="s">
        <v>956</v>
      </c>
      <c r="K106"/>
      <c r="L10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ETVMN.LATVMS.21_AR_ST</v>
      </c>
      <c r="N106" s="13" t="str">
        <f>VLOOKUP(Tabla3[[#This Row],[Tipo]],TIPO[#All],2,0)</f>
        <v>ET</v>
      </c>
      <c r="O106" s="13" t="str">
        <f>VLOOKUP(Tabla3[[#This Row],[Lugar]],LUGAR[#All],2,0)</f>
        <v>VMN</v>
      </c>
      <c r="P106" s="13" t="str">
        <f>Tabla3[[#This Row],[SIGLAS]]</f>
        <v>LATVMS</v>
      </c>
      <c r="Q106" s="13" t="str">
        <f>_xlfn.IFNA(VLOOKUP(Tabla3[[#This Row],[Nivel de tension]],NIVEL[#All],2,0),"")</f>
        <v/>
      </c>
      <c r="R106" s="13" t="str">
        <f>_xlfn.IFNA(VLOOKUP(Tabla3[[#This Row],[DISPOSITIVO]],DISPOSITIVO[],2,0),"")</f>
        <v>21_</v>
      </c>
      <c r="S106" s="13" t="str">
        <f>_xlfn.IFNA(VLOOKUP(Tabla3[[#This Row],[PROTECCION SECUNDARIA]],PROTECCION_SECUNDARIA[],2,0),"")</f>
        <v/>
      </c>
      <c r="T106" s="13" t="str">
        <f>_xlfn.IFNA(VLOOKUP(Tabla3[[#This Row],[Que]],QUE[#All],2,0),"")</f>
        <v>AR</v>
      </c>
      <c r="U106" s="13" t="str">
        <f>_xlfn.IFNA(VLOOKUP(Tabla3[[#This Row],[Señal]],SEÑAL[#All],2,0),"")</f>
        <v>_ST</v>
      </c>
      <c r="V106" s="13" t="str">
        <f>_xlfn.IFNA(VLOOKUP(Tabla3[[#This Row],[NUMERO]],SEÑAL[#All],2,0),"")</f>
        <v/>
      </c>
    </row>
    <row r="107" spans="1:22" x14ac:dyDescent="0.25">
      <c r="A107" s="25" t="s">
        <v>894</v>
      </c>
      <c r="B107" s="2" t="s">
        <v>8</v>
      </c>
      <c r="C107" s="2" t="s">
        <v>89</v>
      </c>
      <c r="D107" s="2" t="s">
        <v>110</v>
      </c>
      <c r="E107" s="2" t="s">
        <v>954</v>
      </c>
      <c r="G107" s="2" t="s">
        <v>318</v>
      </c>
      <c r="I107" s="2" t="s">
        <v>403</v>
      </c>
      <c r="J107" t="s">
        <v>642</v>
      </c>
      <c r="K107"/>
      <c r="L10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ETVMN.LATVMS.21_AR_STN</v>
      </c>
      <c r="N107" s="13" t="str">
        <f>VLOOKUP(Tabla3[[#This Row],[Tipo]],TIPO[#All],2,0)</f>
        <v>ET</v>
      </c>
      <c r="O107" s="13" t="str">
        <f>VLOOKUP(Tabla3[[#This Row],[Lugar]],LUGAR[#All],2,0)</f>
        <v>VMN</v>
      </c>
      <c r="P107" s="13" t="str">
        <f>Tabla3[[#This Row],[SIGLAS]]</f>
        <v>LATVMS</v>
      </c>
      <c r="Q107" s="13" t="str">
        <f>_xlfn.IFNA(VLOOKUP(Tabla3[[#This Row],[Nivel de tension]],NIVEL[#All],2,0),"")</f>
        <v/>
      </c>
      <c r="R107" s="13" t="str">
        <f>_xlfn.IFNA(VLOOKUP(Tabla3[[#This Row],[DISPOSITIVO]],DISPOSITIVO[],2,0),"")</f>
        <v>21_</v>
      </c>
      <c r="S107" s="13" t="str">
        <f>_xlfn.IFNA(VLOOKUP(Tabla3[[#This Row],[PROTECCION SECUNDARIA]],PROTECCION_SECUNDARIA[],2,0),"")</f>
        <v/>
      </c>
      <c r="T107" s="13" t="str">
        <f>_xlfn.IFNA(VLOOKUP(Tabla3[[#This Row],[Que]],QUE[#All],2,0),"")</f>
        <v>AR</v>
      </c>
      <c r="U107" s="13" t="str">
        <f>_xlfn.IFNA(VLOOKUP(Tabla3[[#This Row],[Señal]],SEÑAL[#All],2,0),"")</f>
        <v>_STN</v>
      </c>
      <c r="V107" s="13" t="str">
        <f>_xlfn.IFNA(VLOOKUP(Tabla3[[#This Row],[NUMERO]],SEÑAL[#All],2,0),"")</f>
        <v/>
      </c>
    </row>
    <row r="108" spans="1:22" x14ac:dyDescent="0.25">
      <c r="A108" s="25" t="s">
        <v>895</v>
      </c>
      <c r="B108" s="2" t="s">
        <v>8</v>
      </c>
      <c r="C108" s="2" t="s">
        <v>89</v>
      </c>
      <c r="D108" s="2" t="s">
        <v>110</v>
      </c>
      <c r="E108" s="2" t="s">
        <v>954</v>
      </c>
      <c r="G108" s="2" t="s">
        <v>318</v>
      </c>
      <c r="I108" s="2" t="s">
        <v>403</v>
      </c>
      <c r="J108" t="s">
        <v>624</v>
      </c>
      <c r="K108"/>
      <c r="L10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ETVMN.LATVMS.21_AR_RST</v>
      </c>
      <c r="N108" s="13" t="str">
        <f>VLOOKUP(Tabla3[[#This Row],[Tipo]],TIPO[#All],2,0)</f>
        <v>ET</v>
      </c>
      <c r="O108" s="13" t="str">
        <f>VLOOKUP(Tabla3[[#This Row],[Lugar]],LUGAR[#All],2,0)</f>
        <v>VMN</v>
      </c>
      <c r="P108" s="13" t="str">
        <f>Tabla3[[#This Row],[SIGLAS]]</f>
        <v>LATVMS</v>
      </c>
      <c r="Q108" s="13" t="str">
        <f>_xlfn.IFNA(VLOOKUP(Tabla3[[#This Row],[Nivel de tension]],NIVEL[#All],2,0),"")</f>
        <v/>
      </c>
      <c r="R108" s="13" t="str">
        <f>_xlfn.IFNA(VLOOKUP(Tabla3[[#This Row],[DISPOSITIVO]],DISPOSITIVO[],2,0),"")</f>
        <v>21_</v>
      </c>
      <c r="S108" s="13" t="str">
        <f>_xlfn.IFNA(VLOOKUP(Tabla3[[#This Row],[PROTECCION SECUNDARIA]],PROTECCION_SECUNDARIA[],2,0),"")</f>
        <v/>
      </c>
      <c r="T108" s="13" t="str">
        <f>_xlfn.IFNA(VLOOKUP(Tabla3[[#This Row],[Que]],QUE[#All],2,0),"")</f>
        <v>AR</v>
      </c>
      <c r="U108" s="13" t="str">
        <f>_xlfn.IFNA(VLOOKUP(Tabla3[[#This Row],[Señal]],SEÑAL[#All],2,0),"")</f>
        <v>_RST</v>
      </c>
      <c r="V108" s="13" t="str">
        <f>_xlfn.IFNA(VLOOKUP(Tabla3[[#This Row],[NUMERO]],SEÑAL[#All],2,0),"")</f>
        <v/>
      </c>
    </row>
    <row r="109" spans="1:22" x14ac:dyDescent="0.25">
      <c r="A109" s="25" t="s">
        <v>896</v>
      </c>
      <c r="B109" s="2" t="s">
        <v>8</v>
      </c>
      <c r="C109" s="2" t="s">
        <v>89</v>
      </c>
      <c r="D109" s="2" t="s">
        <v>110</v>
      </c>
      <c r="E109" s="2" t="s">
        <v>954</v>
      </c>
      <c r="G109" s="2" t="s">
        <v>318</v>
      </c>
      <c r="I109" s="2" t="s">
        <v>403</v>
      </c>
      <c r="J109" t="s">
        <v>626</v>
      </c>
      <c r="K109"/>
      <c r="L10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ETVMN.LATVMS.21_AR_RSTN</v>
      </c>
      <c r="N109" s="13" t="str">
        <f>VLOOKUP(Tabla3[[#This Row],[Tipo]],TIPO[#All],2,0)</f>
        <v>ET</v>
      </c>
      <c r="O109" s="13" t="str">
        <f>VLOOKUP(Tabla3[[#This Row],[Lugar]],LUGAR[#All],2,0)</f>
        <v>VMN</v>
      </c>
      <c r="P109" s="13" t="str">
        <f>Tabla3[[#This Row],[SIGLAS]]</f>
        <v>LATVMS</v>
      </c>
      <c r="Q109" s="13" t="str">
        <f>_xlfn.IFNA(VLOOKUP(Tabla3[[#This Row],[Nivel de tension]],NIVEL[#All],2,0),"")</f>
        <v/>
      </c>
      <c r="R109" s="13" t="str">
        <f>_xlfn.IFNA(VLOOKUP(Tabla3[[#This Row],[DISPOSITIVO]],DISPOSITIVO[],2,0),"")</f>
        <v>21_</v>
      </c>
      <c r="S109" s="13" t="str">
        <f>_xlfn.IFNA(VLOOKUP(Tabla3[[#This Row],[PROTECCION SECUNDARIA]],PROTECCION_SECUNDARIA[],2,0),"")</f>
        <v/>
      </c>
      <c r="T109" s="13" t="str">
        <f>_xlfn.IFNA(VLOOKUP(Tabla3[[#This Row],[Que]],QUE[#All],2,0),"")</f>
        <v>AR</v>
      </c>
      <c r="U109" s="13" t="str">
        <f>_xlfn.IFNA(VLOOKUP(Tabla3[[#This Row],[Señal]],SEÑAL[#All],2,0),"")</f>
        <v>_RSTN</v>
      </c>
      <c r="V109" s="13" t="str">
        <f>_xlfn.IFNA(VLOOKUP(Tabla3[[#This Row],[NUMERO]],SEÑAL[#All],2,0),"")</f>
        <v/>
      </c>
    </row>
    <row r="110" spans="1:22" x14ac:dyDescent="0.25">
      <c r="A110" s="25" t="s">
        <v>897</v>
      </c>
      <c r="B110" s="2" t="s">
        <v>8</v>
      </c>
      <c r="C110" s="2" t="s">
        <v>89</v>
      </c>
      <c r="D110" s="2" t="s">
        <v>110</v>
      </c>
      <c r="E110" s="2" t="s">
        <v>954</v>
      </c>
      <c r="G110" s="2" t="s">
        <v>318</v>
      </c>
      <c r="I110" s="2" t="s">
        <v>403</v>
      </c>
      <c r="J110" t="s">
        <v>727</v>
      </c>
      <c r="K110"/>
      <c r="L11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ETVMN.LATVMS.21_ARFW</v>
      </c>
      <c r="N110" s="13" t="str">
        <f>VLOOKUP(Tabla3[[#This Row],[Tipo]],TIPO[#All],2,0)</f>
        <v>ET</v>
      </c>
      <c r="O110" s="13" t="str">
        <f>VLOOKUP(Tabla3[[#This Row],[Lugar]],LUGAR[#All],2,0)</f>
        <v>VMN</v>
      </c>
      <c r="P110" s="13" t="str">
        <f>Tabla3[[#This Row],[SIGLAS]]</f>
        <v>LATVMS</v>
      </c>
      <c r="Q110" s="13" t="str">
        <f>_xlfn.IFNA(VLOOKUP(Tabla3[[#This Row],[Nivel de tension]],NIVEL[#All],2,0),"")</f>
        <v/>
      </c>
      <c r="R110" s="13" t="str">
        <f>_xlfn.IFNA(VLOOKUP(Tabla3[[#This Row],[DISPOSITIVO]],DISPOSITIVO[],2,0),"")</f>
        <v>21_</v>
      </c>
      <c r="S110" s="13" t="str">
        <f>_xlfn.IFNA(VLOOKUP(Tabla3[[#This Row],[PROTECCION SECUNDARIA]],PROTECCION_SECUNDARIA[],2,0),"")</f>
        <v/>
      </c>
      <c r="T110" s="13" t="str">
        <f>_xlfn.IFNA(VLOOKUP(Tabla3[[#This Row],[Que]],QUE[#All],2,0),"")</f>
        <v>AR</v>
      </c>
      <c r="U110" s="13" t="str">
        <f>_xlfn.IFNA(VLOOKUP(Tabla3[[#This Row],[Señal]],SEÑAL[#All],2,0),"")</f>
        <v>FW</v>
      </c>
      <c r="V110" s="13" t="str">
        <f>_xlfn.IFNA(VLOOKUP(Tabla3[[#This Row],[NUMERO]],SEÑAL[#All],2,0),"")</f>
        <v/>
      </c>
    </row>
    <row r="111" spans="1:22" x14ac:dyDescent="0.25">
      <c r="A111" s="25" t="s">
        <v>898</v>
      </c>
      <c r="B111" s="2" t="s">
        <v>8</v>
      </c>
      <c r="C111" s="2" t="s">
        <v>89</v>
      </c>
      <c r="D111" s="2" t="s">
        <v>110</v>
      </c>
      <c r="E111" s="2" t="s">
        <v>954</v>
      </c>
      <c r="G111" s="2" t="s">
        <v>318</v>
      </c>
      <c r="I111" s="2" t="s">
        <v>403</v>
      </c>
      <c r="J111" t="s">
        <v>783</v>
      </c>
      <c r="K111"/>
      <c r="L11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ETVMN.LATVMS.21_ARRV</v>
      </c>
      <c r="N111" s="13" t="str">
        <f>VLOOKUP(Tabla3[[#This Row],[Tipo]],TIPO[#All],2,0)</f>
        <v>ET</v>
      </c>
      <c r="O111" s="13" t="str">
        <f>VLOOKUP(Tabla3[[#This Row],[Lugar]],LUGAR[#All],2,0)</f>
        <v>VMN</v>
      </c>
      <c r="P111" s="13" t="str">
        <f>Tabla3[[#This Row],[SIGLAS]]</f>
        <v>LATVMS</v>
      </c>
      <c r="Q111" s="13" t="str">
        <f>_xlfn.IFNA(VLOOKUP(Tabla3[[#This Row],[Nivel de tension]],NIVEL[#All],2,0),"")</f>
        <v/>
      </c>
      <c r="R111" s="13" t="str">
        <f>_xlfn.IFNA(VLOOKUP(Tabla3[[#This Row],[DISPOSITIVO]],DISPOSITIVO[],2,0),"")</f>
        <v>21_</v>
      </c>
      <c r="S111" s="13" t="str">
        <f>_xlfn.IFNA(VLOOKUP(Tabla3[[#This Row],[PROTECCION SECUNDARIA]],PROTECCION_SECUNDARIA[],2,0),"")</f>
        <v/>
      </c>
      <c r="T111" s="13" t="str">
        <f>_xlfn.IFNA(VLOOKUP(Tabla3[[#This Row],[Que]],QUE[#All],2,0),"")</f>
        <v>AR</v>
      </c>
      <c r="U111" s="13" t="str">
        <f>_xlfn.IFNA(VLOOKUP(Tabla3[[#This Row],[Señal]],SEÑAL[#All],2,0),"")</f>
        <v>RV</v>
      </c>
      <c r="V111" s="13" t="str">
        <f>_xlfn.IFNA(VLOOKUP(Tabla3[[#This Row],[NUMERO]],SEÑAL[#All],2,0),"")</f>
        <v/>
      </c>
    </row>
    <row r="112" spans="1:22" x14ac:dyDescent="0.25">
      <c r="A112" s="25" t="s">
        <v>899</v>
      </c>
      <c r="B112" s="2" t="s">
        <v>8</v>
      </c>
      <c r="C112" s="2" t="s">
        <v>89</v>
      </c>
      <c r="D112" s="2" t="s">
        <v>110</v>
      </c>
      <c r="E112" s="2" t="s">
        <v>954</v>
      </c>
      <c r="G112" s="2" t="s">
        <v>318</v>
      </c>
      <c r="I112" s="2" t="s">
        <v>434</v>
      </c>
      <c r="J112"/>
      <c r="K112"/>
      <c r="L11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</v>
      </c>
      <c r="N112" s="13" t="str">
        <f>VLOOKUP(Tabla3[[#This Row],[Tipo]],TIPO[#All],2,0)</f>
        <v>ET</v>
      </c>
      <c r="O112" s="13" t="str">
        <f>VLOOKUP(Tabla3[[#This Row],[Lugar]],LUGAR[#All],2,0)</f>
        <v>VMN</v>
      </c>
      <c r="P112" s="13" t="str">
        <f>Tabla3[[#This Row],[SIGLAS]]</f>
        <v>LATVMS</v>
      </c>
      <c r="Q112" s="13" t="str">
        <f>_xlfn.IFNA(VLOOKUP(Tabla3[[#This Row],[Nivel de tension]],NIVEL[#All],2,0),"")</f>
        <v/>
      </c>
      <c r="R112" s="13" t="str">
        <f>_xlfn.IFNA(VLOOKUP(Tabla3[[#This Row],[DISPOSITIVO]],DISPOSITIVO[],2,0),"")</f>
        <v>21_</v>
      </c>
      <c r="S112" s="13" t="str">
        <f>_xlfn.IFNA(VLOOKUP(Tabla3[[#This Row],[PROTECCION SECUNDARIA]],PROTECCION_SECUNDARIA[],2,0),"")</f>
        <v/>
      </c>
      <c r="T112" s="13" t="str">
        <f>_xlfn.IFNA(VLOOKUP(Tabla3[[#This Row],[Que]],QUE[#All],2,0),"")</f>
        <v>DI</v>
      </c>
      <c r="U112" s="13" t="str">
        <f>_xlfn.IFNA(VLOOKUP(Tabla3[[#This Row],[Señal]],SEÑAL[#All],2,0),"")</f>
        <v/>
      </c>
      <c r="V112" s="13" t="str">
        <f>_xlfn.IFNA(VLOOKUP(Tabla3[[#This Row],[NUMERO]],SEÑAL[#All],2,0),"")</f>
        <v/>
      </c>
    </row>
    <row r="113" spans="1:22" x14ac:dyDescent="0.25">
      <c r="A113" s="25" t="s">
        <v>900</v>
      </c>
      <c r="B113" s="2" t="s">
        <v>8</v>
      </c>
      <c r="C113" s="2" t="s">
        <v>89</v>
      </c>
      <c r="D113" s="2" t="s">
        <v>110</v>
      </c>
      <c r="E113" s="2" t="s">
        <v>954</v>
      </c>
      <c r="G113" s="2" t="s">
        <v>318</v>
      </c>
      <c r="I113" s="2" t="s">
        <v>434</v>
      </c>
      <c r="J113" t="s">
        <v>611</v>
      </c>
      <c r="K113"/>
      <c r="L11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ETVMN.LATVMS.21_DI_R</v>
      </c>
      <c r="N113" s="13" t="str">
        <f>VLOOKUP(Tabla3[[#This Row],[Tipo]],TIPO[#All],2,0)</f>
        <v>ET</v>
      </c>
      <c r="O113" s="13" t="str">
        <f>VLOOKUP(Tabla3[[#This Row],[Lugar]],LUGAR[#All],2,0)</f>
        <v>VMN</v>
      </c>
      <c r="P113" s="13" t="str">
        <f>Tabla3[[#This Row],[SIGLAS]]</f>
        <v>LATVMS</v>
      </c>
      <c r="Q113" s="13" t="str">
        <f>_xlfn.IFNA(VLOOKUP(Tabla3[[#This Row],[Nivel de tension]],NIVEL[#All],2,0),"")</f>
        <v/>
      </c>
      <c r="R113" s="13" t="str">
        <f>_xlfn.IFNA(VLOOKUP(Tabla3[[#This Row],[DISPOSITIVO]],DISPOSITIVO[],2,0),"")</f>
        <v>21_</v>
      </c>
      <c r="S113" s="13" t="str">
        <f>_xlfn.IFNA(VLOOKUP(Tabla3[[#This Row],[PROTECCION SECUNDARIA]],PROTECCION_SECUNDARIA[],2,0),"")</f>
        <v/>
      </c>
      <c r="T113" s="13" t="str">
        <f>_xlfn.IFNA(VLOOKUP(Tabla3[[#This Row],[Que]],QUE[#All],2,0),"")</f>
        <v>DI</v>
      </c>
      <c r="U113" s="13" t="str">
        <f>_xlfn.IFNA(VLOOKUP(Tabla3[[#This Row],[Señal]],SEÑAL[#All],2,0),"")</f>
        <v>_R</v>
      </c>
      <c r="V113" s="13" t="str">
        <f>_xlfn.IFNA(VLOOKUP(Tabla3[[#This Row],[NUMERO]],SEÑAL[#All],2,0),"")</f>
        <v/>
      </c>
    </row>
    <row r="114" spans="1:22" x14ac:dyDescent="0.25">
      <c r="A114" s="25" t="s">
        <v>901</v>
      </c>
      <c r="B114" s="2" t="s">
        <v>8</v>
      </c>
      <c r="C114" s="2" t="s">
        <v>89</v>
      </c>
      <c r="D114" s="2" t="s">
        <v>110</v>
      </c>
      <c r="E114" s="2" t="s">
        <v>954</v>
      </c>
      <c r="G114" s="2" t="s">
        <v>318</v>
      </c>
      <c r="I114" s="2" t="s">
        <v>434</v>
      </c>
      <c r="J114" t="s">
        <v>634</v>
      </c>
      <c r="K114"/>
      <c r="L11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ETVMN.LATVMS.21_DI_S</v>
      </c>
      <c r="N114" s="13" t="str">
        <f>VLOOKUP(Tabla3[[#This Row],[Tipo]],TIPO[#All],2,0)</f>
        <v>ET</v>
      </c>
      <c r="O114" s="13" t="str">
        <f>VLOOKUP(Tabla3[[#This Row],[Lugar]],LUGAR[#All],2,0)</f>
        <v>VMN</v>
      </c>
      <c r="P114" s="13" t="str">
        <f>Tabla3[[#This Row],[SIGLAS]]</f>
        <v>LATVMS</v>
      </c>
      <c r="Q114" s="13" t="str">
        <f>_xlfn.IFNA(VLOOKUP(Tabla3[[#This Row],[Nivel de tension]],NIVEL[#All],2,0),"")</f>
        <v/>
      </c>
      <c r="R114" s="13" t="str">
        <f>_xlfn.IFNA(VLOOKUP(Tabla3[[#This Row],[DISPOSITIVO]],DISPOSITIVO[],2,0),"")</f>
        <v>21_</v>
      </c>
      <c r="S114" s="13" t="str">
        <f>_xlfn.IFNA(VLOOKUP(Tabla3[[#This Row],[PROTECCION SECUNDARIA]],PROTECCION_SECUNDARIA[],2,0),"")</f>
        <v/>
      </c>
      <c r="T114" s="13" t="str">
        <f>_xlfn.IFNA(VLOOKUP(Tabla3[[#This Row],[Que]],QUE[#All],2,0),"")</f>
        <v>DI</v>
      </c>
      <c r="U114" s="13" t="str">
        <f>_xlfn.IFNA(VLOOKUP(Tabla3[[#This Row],[Señal]],SEÑAL[#All],2,0),"")</f>
        <v>_S</v>
      </c>
      <c r="V114" s="13" t="str">
        <f>_xlfn.IFNA(VLOOKUP(Tabla3[[#This Row],[NUMERO]],SEÑAL[#All],2,0),"")</f>
        <v/>
      </c>
    </row>
    <row r="115" spans="1:22" x14ac:dyDescent="0.25">
      <c r="A115" s="25" t="s">
        <v>902</v>
      </c>
      <c r="B115" s="2" t="s">
        <v>8</v>
      </c>
      <c r="C115" s="2" t="s">
        <v>89</v>
      </c>
      <c r="D115" s="2" t="s">
        <v>110</v>
      </c>
      <c r="E115" s="2" t="s">
        <v>954</v>
      </c>
      <c r="G115" s="2" t="s">
        <v>318</v>
      </c>
      <c r="I115" s="2" t="s">
        <v>434</v>
      </c>
      <c r="J115" t="s">
        <v>647</v>
      </c>
      <c r="K115"/>
      <c r="L11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ETVMN.LATVMS.21_DI_T</v>
      </c>
      <c r="N115" s="13" t="str">
        <f>VLOOKUP(Tabla3[[#This Row],[Tipo]],TIPO[#All],2,0)</f>
        <v>ET</v>
      </c>
      <c r="O115" s="13" t="str">
        <f>VLOOKUP(Tabla3[[#This Row],[Lugar]],LUGAR[#All],2,0)</f>
        <v>VMN</v>
      </c>
      <c r="P115" s="13" t="str">
        <f>Tabla3[[#This Row],[SIGLAS]]</f>
        <v>LATVMS</v>
      </c>
      <c r="Q115" s="13" t="str">
        <f>_xlfn.IFNA(VLOOKUP(Tabla3[[#This Row],[Nivel de tension]],NIVEL[#All],2,0),"")</f>
        <v/>
      </c>
      <c r="R115" s="13" t="str">
        <f>_xlfn.IFNA(VLOOKUP(Tabla3[[#This Row],[DISPOSITIVO]],DISPOSITIVO[],2,0),"")</f>
        <v>21_</v>
      </c>
      <c r="S115" s="13" t="str">
        <f>_xlfn.IFNA(VLOOKUP(Tabla3[[#This Row],[PROTECCION SECUNDARIA]],PROTECCION_SECUNDARIA[],2,0),"")</f>
        <v/>
      </c>
      <c r="T115" s="13" t="str">
        <f>_xlfn.IFNA(VLOOKUP(Tabla3[[#This Row],[Que]],QUE[#All],2,0),"")</f>
        <v>DI</v>
      </c>
      <c r="U115" s="13" t="str">
        <f>_xlfn.IFNA(VLOOKUP(Tabla3[[#This Row],[Señal]],SEÑAL[#All],2,0),"")</f>
        <v>_T</v>
      </c>
      <c r="V115" s="13" t="str">
        <f>_xlfn.IFNA(VLOOKUP(Tabla3[[#This Row],[NUMERO]],SEÑAL[#All],2,0),"")</f>
        <v/>
      </c>
    </row>
    <row r="116" spans="1:22" x14ac:dyDescent="0.25">
      <c r="A116" s="25" t="s">
        <v>903</v>
      </c>
      <c r="B116" s="2" t="s">
        <v>8</v>
      </c>
      <c r="C116" s="2" t="s">
        <v>89</v>
      </c>
      <c r="D116" s="2" t="s">
        <v>110</v>
      </c>
      <c r="E116" s="2" t="s">
        <v>954</v>
      </c>
      <c r="G116" s="2" t="s">
        <v>318</v>
      </c>
      <c r="I116" s="2" t="s">
        <v>434</v>
      </c>
      <c r="J116" t="s">
        <v>654</v>
      </c>
      <c r="K116"/>
      <c r="L11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ETVMN.LATVMS.21_DI_TRI</v>
      </c>
      <c r="N116" s="13" t="str">
        <f>VLOOKUP(Tabla3[[#This Row],[Tipo]],TIPO[#All],2,0)</f>
        <v>ET</v>
      </c>
      <c r="O116" s="13" t="str">
        <f>VLOOKUP(Tabla3[[#This Row],[Lugar]],LUGAR[#All],2,0)</f>
        <v>VMN</v>
      </c>
      <c r="P116" s="13" t="str">
        <f>Tabla3[[#This Row],[SIGLAS]]</f>
        <v>LATVMS</v>
      </c>
      <c r="Q116" s="13" t="str">
        <f>_xlfn.IFNA(VLOOKUP(Tabla3[[#This Row],[Nivel de tension]],NIVEL[#All],2,0),"")</f>
        <v/>
      </c>
      <c r="R116" s="13" t="str">
        <f>_xlfn.IFNA(VLOOKUP(Tabla3[[#This Row],[DISPOSITIVO]],DISPOSITIVO[],2,0),"")</f>
        <v>21_</v>
      </c>
      <c r="S116" s="13" t="str">
        <f>_xlfn.IFNA(VLOOKUP(Tabla3[[#This Row],[PROTECCION SECUNDARIA]],PROTECCION_SECUNDARIA[],2,0),"")</f>
        <v/>
      </c>
      <c r="T116" s="13" t="str">
        <f>_xlfn.IFNA(VLOOKUP(Tabla3[[#This Row],[Que]],QUE[#All],2,0),"")</f>
        <v>DI</v>
      </c>
      <c r="U116" s="13" t="str">
        <f>_xlfn.IFNA(VLOOKUP(Tabla3[[#This Row],[Señal]],SEÑAL[#All],2,0),"")</f>
        <v>_TRI</v>
      </c>
      <c r="V116" s="13" t="str">
        <f>_xlfn.IFNA(VLOOKUP(Tabla3[[#This Row],[NUMERO]],SEÑAL[#All],2,0),"")</f>
        <v/>
      </c>
    </row>
    <row r="117" spans="1:22" x14ac:dyDescent="0.25">
      <c r="A117" s="25" t="s">
        <v>904</v>
      </c>
      <c r="B117" s="2" t="s">
        <v>8</v>
      </c>
      <c r="C117" s="2" t="s">
        <v>89</v>
      </c>
      <c r="D117" s="2" t="s">
        <v>110</v>
      </c>
      <c r="E117" s="2" t="s">
        <v>954</v>
      </c>
      <c r="G117" s="2" t="s">
        <v>318</v>
      </c>
      <c r="I117" s="2" t="s">
        <v>434</v>
      </c>
      <c r="J117" t="s">
        <v>832</v>
      </c>
      <c r="K117"/>
      <c r="L11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ETVMN.LATVMS.21_DITRI_Z4</v>
      </c>
      <c r="N117" s="13" t="str">
        <f>VLOOKUP(Tabla3[[#This Row],[Tipo]],TIPO[#All],2,0)</f>
        <v>ET</v>
      </c>
      <c r="O117" s="13" t="str">
        <f>VLOOKUP(Tabla3[[#This Row],[Lugar]],LUGAR[#All],2,0)</f>
        <v>VMN</v>
      </c>
      <c r="P117" s="13" t="str">
        <f>Tabla3[[#This Row],[SIGLAS]]</f>
        <v>LATVMS</v>
      </c>
      <c r="Q117" s="13" t="str">
        <f>_xlfn.IFNA(VLOOKUP(Tabla3[[#This Row],[Nivel de tension]],NIVEL[#All],2,0),"")</f>
        <v/>
      </c>
      <c r="R117" s="13" t="str">
        <f>_xlfn.IFNA(VLOOKUP(Tabla3[[#This Row],[DISPOSITIVO]],DISPOSITIVO[],2,0),"")</f>
        <v>21_</v>
      </c>
      <c r="S117" s="13" t="str">
        <f>_xlfn.IFNA(VLOOKUP(Tabla3[[#This Row],[PROTECCION SECUNDARIA]],PROTECCION_SECUNDARIA[],2,0),"")</f>
        <v/>
      </c>
      <c r="T117" s="13" t="str">
        <f>_xlfn.IFNA(VLOOKUP(Tabla3[[#This Row],[Que]],QUE[#All],2,0),"")</f>
        <v>DI</v>
      </c>
      <c r="U117" s="13" t="str">
        <f>_xlfn.IFNA(VLOOKUP(Tabla3[[#This Row],[Señal]],SEÑAL[#All],2,0),"")</f>
        <v>TRI_Z4</v>
      </c>
      <c r="V117" s="13" t="str">
        <f>_xlfn.IFNA(VLOOKUP(Tabla3[[#This Row],[NUMERO]],SEÑAL[#All],2,0),"")</f>
        <v/>
      </c>
    </row>
    <row r="118" spans="1:22" x14ac:dyDescent="0.25">
      <c r="A118" s="25" t="s">
        <v>905</v>
      </c>
      <c r="B118" s="2" t="s">
        <v>8</v>
      </c>
      <c r="C118" s="2" t="s">
        <v>89</v>
      </c>
      <c r="D118" s="2" t="s">
        <v>110</v>
      </c>
      <c r="E118" s="2" t="s">
        <v>954</v>
      </c>
      <c r="G118" s="2" t="s">
        <v>318</v>
      </c>
      <c r="I118" s="2" t="s">
        <v>434</v>
      </c>
      <c r="J118" t="s">
        <v>834</v>
      </c>
      <c r="K118"/>
      <c r="L11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ETVMN.LATVMS.21_DITRI_Z5</v>
      </c>
      <c r="N118" s="13" t="str">
        <f>VLOOKUP(Tabla3[[#This Row],[Tipo]],TIPO[#All],2,0)</f>
        <v>ET</v>
      </c>
      <c r="O118" s="13" t="str">
        <f>VLOOKUP(Tabla3[[#This Row],[Lugar]],LUGAR[#All],2,0)</f>
        <v>VMN</v>
      </c>
      <c r="P118" s="13" t="str">
        <f>Tabla3[[#This Row],[SIGLAS]]</f>
        <v>LATVMS</v>
      </c>
      <c r="Q118" s="13" t="str">
        <f>_xlfn.IFNA(VLOOKUP(Tabla3[[#This Row],[Nivel de tension]],NIVEL[#All],2,0),"")</f>
        <v/>
      </c>
      <c r="R118" s="13" t="str">
        <f>_xlfn.IFNA(VLOOKUP(Tabla3[[#This Row],[DISPOSITIVO]],DISPOSITIVO[],2,0),"")</f>
        <v>21_</v>
      </c>
      <c r="S118" s="13" t="str">
        <f>_xlfn.IFNA(VLOOKUP(Tabla3[[#This Row],[PROTECCION SECUNDARIA]],PROTECCION_SECUNDARIA[],2,0),"")</f>
        <v/>
      </c>
      <c r="T118" s="13" t="str">
        <f>_xlfn.IFNA(VLOOKUP(Tabla3[[#This Row],[Que]],QUE[#All],2,0),"")</f>
        <v>DI</v>
      </c>
      <c r="U118" s="13" t="str">
        <f>_xlfn.IFNA(VLOOKUP(Tabla3[[#This Row],[Señal]],SEÑAL[#All],2,0),"")</f>
        <v>TRI_Z5</v>
      </c>
      <c r="V118" s="13" t="str">
        <f>_xlfn.IFNA(VLOOKUP(Tabla3[[#This Row],[NUMERO]],SEÑAL[#All],2,0),"")</f>
        <v/>
      </c>
    </row>
    <row r="119" spans="1:22" x14ac:dyDescent="0.25">
      <c r="A119" s="25" t="s">
        <v>906</v>
      </c>
      <c r="B119" s="2" t="s">
        <v>8</v>
      </c>
      <c r="C119" s="2" t="s">
        <v>89</v>
      </c>
      <c r="D119" s="2" t="s">
        <v>110</v>
      </c>
      <c r="E119" s="2" t="s">
        <v>954</v>
      </c>
      <c r="G119" s="2" t="s">
        <v>318</v>
      </c>
      <c r="I119" s="2" t="s">
        <v>434</v>
      </c>
      <c r="J119" t="s">
        <v>747</v>
      </c>
      <c r="K119"/>
      <c r="L11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ETVMN.LATVMS.21_DIMONO_Z1</v>
      </c>
      <c r="N119" s="13" t="str">
        <f>VLOOKUP(Tabla3[[#This Row],[Tipo]],TIPO[#All],2,0)</f>
        <v>ET</v>
      </c>
      <c r="O119" s="13" t="str">
        <f>VLOOKUP(Tabla3[[#This Row],[Lugar]],LUGAR[#All],2,0)</f>
        <v>VMN</v>
      </c>
      <c r="P119" s="13" t="str">
        <f>Tabla3[[#This Row],[SIGLAS]]</f>
        <v>LATVMS</v>
      </c>
      <c r="Q119" s="13" t="str">
        <f>_xlfn.IFNA(VLOOKUP(Tabla3[[#This Row],[Nivel de tension]],NIVEL[#All],2,0),"")</f>
        <v/>
      </c>
      <c r="R119" s="13" t="str">
        <f>_xlfn.IFNA(VLOOKUP(Tabla3[[#This Row],[DISPOSITIVO]],DISPOSITIVO[],2,0),"")</f>
        <v>21_</v>
      </c>
      <c r="S119" s="13" t="str">
        <f>_xlfn.IFNA(VLOOKUP(Tabla3[[#This Row],[PROTECCION SECUNDARIA]],PROTECCION_SECUNDARIA[],2,0),"")</f>
        <v/>
      </c>
      <c r="T119" s="13" t="str">
        <f>_xlfn.IFNA(VLOOKUP(Tabla3[[#This Row],[Que]],QUE[#All],2,0),"")</f>
        <v>DI</v>
      </c>
      <c r="U119" s="13" t="str">
        <f>_xlfn.IFNA(VLOOKUP(Tabla3[[#This Row],[Señal]],SEÑAL[#All],2,0),"")</f>
        <v>MONO_Z1</v>
      </c>
      <c r="V119" s="13" t="str">
        <f>_xlfn.IFNA(VLOOKUP(Tabla3[[#This Row],[NUMERO]],SEÑAL[#All],2,0),"")</f>
        <v/>
      </c>
    </row>
    <row r="120" spans="1:22" x14ac:dyDescent="0.25">
      <c r="A120" s="25" t="s">
        <v>907</v>
      </c>
      <c r="B120" s="2" t="s">
        <v>8</v>
      </c>
      <c r="C120" s="2" t="s">
        <v>89</v>
      </c>
      <c r="D120" s="2" t="s">
        <v>110</v>
      </c>
      <c r="E120" s="2" t="s">
        <v>954</v>
      </c>
      <c r="G120" s="2" t="s">
        <v>318</v>
      </c>
      <c r="I120" s="2" t="s">
        <v>434</v>
      </c>
      <c r="J120" t="s">
        <v>749</v>
      </c>
      <c r="K120"/>
      <c r="L12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ETVMN.LATVMS.21_DIMONO_Z1B</v>
      </c>
      <c r="N120" s="13" t="str">
        <f>VLOOKUP(Tabla3[[#This Row],[Tipo]],TIPO[#All],2,0)</f>
        <v>ET</v>
      </c>
      <c r="O120" s="13" t="str">
        <f>VLOOKUP(Tabla3[[#This Row],[Lugar]],LUGAR[#All],2,0)</f>
        <v>VMN</v>
      </c>
      <c r="P120" s="13" t="str">
        <f>Tabla3[[#This Row],[SIGLAS]]</f>
        <v>LATVMS</v>
      </c>
      <c r="Q120" s="13" t="str">
        <f>_xlfn.IFNA(VLOOKUP(Tabla3[[#This Row],[Nivel de tension]],NIVEL[#All],2,0),"")</f>
        <v/>
      </c>
      <c r="R120" s="13" t="str">
        <f>_xlfn.IFNA(VLOOKUP(Tabla3[[#This Row],[DISPOSITIVO]],DISPOSITIVO[],2,0),"")</f>
        <v>21_</v>
      </c>
      <c r="S120" s="13" t="str">
        <f>_xlfn.IFNA(VLOOKUP(Tabla3[[#This Row],[PROTECCION SECUNDARIA]],PROTECCION_SECUNDARIA[],2,0),"")</f>
        <v/>
      </c>
      <c r="T120" s="13" t="str">
        <f>_xlfn.IFNA(VLOOKUP(Tabla3[[#This Row],[Que]],QUE[#All],2,0),"")</f>
        <v>DI</v>
      </c>
      <c r="U120" s="13" t="str">
        <f>_xlfn.IFNA(VLOOKUP(Tabla3[[#This Row],[Señal]],SEÑAL[#All],2,0),"")</f>
        <v>MONO_Z1B</v>
      </c>
      <c r="V120" s="13" t="str">
        <f>_xlfn.IFNA(VLOOKUP(Tabla3[[#This Row],[NUMERO]],SEÑAL[#All],2,0),"")</f>
        <v/>
      </c>
    </row>
    <row r="121" spans="1:22" x14ac:dyDescent="0.25">
      <c r="A121" s="25" t="s">
        <v>908</v>
      </c>
      <c r="B121" s="2" t="s">
        <v>8</v>
      </c>
      <c r="C121" s="2" t="s">
        <v>89</v>
      </c>
      <c r="D121" s="2" t="s">
        <v>110</v>
      </c>
      <c r="E121" s="2" t="s">
        <v>954</v>
      </c>
      <c r="G121" s="2" t="s">
        <v>318</v>
      </c>
      <c r="I121" s="2" t="s">
        <v>434</v>
      </c>
      <c r="J121" t="s">
        <v>751</v>
      </c>
      <c r="K121"/>
      <c r="L12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ETVMN.LATVMS.21_DIMONO_Z2</v>
      </c>
      <c r="N121" s="13" t="str">
        <f>VLOOKUP(Tabla3[[#This Row],[Tipo]],TIPO[#All],2,0)</f>
        <v>ET</v>
      </c>
      <c r="O121" s="13" t="str">
        <f>VLOOKUP(Tabla3[[#This Row],[Lugar]],LUGAR[#All],2,0)</f>
        <v>VMN</v>
      </c>
      <c r="P121" s="13" t="str">
        <f>Tabla3[[#This Row],[SIGLAS]]</f>
        <v>LATVMS</v>
      </c>
      <c r="Q121" s="13" t="str">
        <f>_xlfn.IFNA(VLOOKUP(Tabla3[[#This Row],[Nivel de tension]],NIVEL[#All],2,0),"")</f>
        <v/>
      </c>
      <c r="R121" s="13" t="str">
        <f>_xlfn.IFNA(VLOOKUP(Tabla3[[#This Row],[DISPOSITIVO]],DISPOSITIVO[],2,0),"")</f>
        <v>21_</v>
      </c>
      <c r="S121" s="13" t="str">
        <f>_xlfn.IFNA(VLOOKUP(Tabla3[[#This Row],[PROTECCION SECUNDARIA]],PROTECCION_SECUNDARIA[],2,0),"")</f>
        <v/>
      </c>
      <c r="T121" s="13" t="str">
        <f>_xlfn.IFNA(VLOOKUP(Tabla3[[#This Row],[Que]],QUE[#All],2,0),"")</f>
        <v>DI</v>
      </c>
      <c r="U121" s="13" t="str">
        <f>_xlfn.IFNA(VLOOKUP(Tabla3[[#This Row],[Señal]],SEÑAL[#All],2,0),"")</f>
        <v>MONO_Z2</v>
      </c>
      <c r="V121" s="13" t="str">
        <f>_xlfn.IFNA(VLOOKUP(Tabla3[[#This Row],[NUMERO]],SEÑAL[#All],2,0),"")</f>
        <v/>
      </c>
    </row>
    <row r="122" spans="1:22" x14ac:dyDescent="0.25">
      <c r="A122" s="25" t="s">
        <v>909</v>
      </c>
      <c r="B122" s="2" t="s">
        <v>8</v>
      </c>
      <c r="C122" s="2" t="s">
        <v>89</v>
      </c>
      <c r="D122" s="2" t="s">
        <v>110</v>
      </c>
      <c r="E122" s="2" t="s">
        <v>954</v>
      </c>
      <c r="G122" s="2" t="s">
        <v>318</v>
      </c>
      <c r="I122" s="2" t="s">
        <v>434</v>
      </c>
      <c r="J122" t="s">
        <v>828</v>
      </c>
      <c r="K122"/>
      <c r="L12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ETVMN.LATVMS.21_DITRI_Z2</v>
      </c>
      <c r="N122" s="13" t="str">
        <f>VLOOKUP(Tabla3[[#This Row],[Tipo]],TIPO[#All],2,0)</f>
        <v>ET</v>
      </c>
      <c r="O122" s="13" t="str">
        <f>VLOOKUP(Tabla3[[#This Row],[Lugar]],LUGAR[#All],2,0)</f>
        <v>VMN</v>
      </c>
      <c r="P122" s="13" t="str">
        <f>Tabla3[[#This Row],[SIGLAS]]</f>
        <v>LATVMS</v>
      </c>
      <c r="Q122" s="13" t="str">
        <f>_xlfn.IFNA(VLOOKUP(Tabla3[[#This Row],[Nivel de tension]],NIVEL[#All],2,0),"")</f>
        <v/>
      </c>
      <c r="R122" s="13" t="str">
        <f>_xlfn.IFNA(VLOOKUP(Tabla3[[#This Row],[DISPOSITIVO]],DISPOSITIVO[],2,0),"")</f>
        <v>21_</v>
      </c>
      <c r="S122" s="13" t="str">
        <f>_xlfn.IFNA(VLOOKUP(Tabla3[[#This Row],[PROTECCION SECUNDARIA]],PROTECCION_SECUNDARIA[],2,0),"")</f>
        <v/>
      </c>
      <c r="T122" s="13" t="str">
        <f>_xlfn.IFNA(VLOOKUP(Tabla3[[#This Row],[Que]],QUE[#All],2,0),"")</f>
        <v>DI</v>
      </c>
      <c r="U122" s="13" t="str">
        <f>_xlfn.IFNA(VLOOKUP(Tabla3[[#This Row],[Señal]],SEÑAL[#All],2,0),"")</f>
        <v>TRI_Z2</v>
      </c>
      <c r="V122" s="13" t="str">
        <f>_xlfn.IFNA(VLOOKUP(Tabla3[[#This Row],[NUMERO]],SEÑAL[#All],2,0),"")</f>
        <v/>
      </c>
    </row>
    <row r="123" spans="1:22" x14ac:dyDescent="0.25">
      <c r="A123" s="25" t="s">
        <v>910</v>
      </c>
      <c r="B123" s="2" t="s">
        <v>8</v>
      </c>
      <c r="C123" s="2" t="s">
        <v>89</v>
      </c>
      <c r="D123" s="2" t="s">
        <v>110</v>
      </c>
      <c r="E123" s="2" t="s">
        <v>954</v>
      </c>
      <c r="G123" s="2" t="s">
        <v>318</v>
      </c>
      <c r="I123" s="2" t="s">
        <v>434</v>
      </c>
      <c r="J123" t="s">
        <v>830</v>
      </c>
      <c r="K123"/>
      <c r="L12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ETVMN.LATVMS.21_DITRI_Z3</v>
      </c>
      <c r="N123" s="13" t="str">
        <f>VLOOKUP(Tabla3[[#This Row],[Tipo]],TIPO[#All],2,0)</f>
        <v>ET</v>
      </c>
      <c r="O123" s="13" t="str">
        <f>VLOOKUP(Tabla3[[#This Row],[Lugar]],LUGAR[#All],2,0)</f>
        <v>VMN</v>
      </c>
      <c r="P123" s="13" t="str">
        <f>Tabla3[[#This Row],[SIGLAS]]</f>
        <v>LATVMS</v>
      </c>
      <c r="Q123" s="13" t="str">
        <f>_xlfn.IFNA(VLOOKUP(Tabla3[[#This Row],[Nivel de tension]],NIVEL[#All],2,0),"")</f>
        <v/>
      </c>
      <c r="R123" s="13" t="str">
        <f>_xlfn.IFNA(VLOOKUP(Tabla3[[#This Row],[DISPOSITIVO]],DISPOSITIVO[],2,0),"")</f>
        <v>21_</v>
      </c>
      <c r="S123" s="13" t="str">
        <f>_xlfn.IFNA(VLOOKUP(Tabla3[[#This Row],[PROTECCION SECUNDARIA]],PROTECCION_SECUNDARIA[],2,0),"")</f>
        <v/>
      </c>
      <c r="T123" s="13" t="str">
        <f>_xlfn.IFNA(VLOOKUP(Tabla3[[#This Row],[Que]],QUE[#All],2,0),"")</f>
        <v>DI</v>
      </c>
      <c r="U123" s="13" t="str">
        <f>_xlfn.IFNA(VLOOKUP(Tabla3[[#This Row],[Señal]],SEÑAL[#All],2,0),"")</f>
        <v>TRI_Z3</v>
      </c>
      <c r="V123" s="13" t="str">
        <f>_xlfn.IFNA(VLOOKUP(Tabla3[[#This Row],[NUMERO]],SEÑAL[#All],2,0),"")</f>
        <v/>
      </c>
    </row>
    <row r="124" spans="1:22" x14ac:dyDescent="0.25">
      <c r="A124" s="25" t="s">
        <v>911</v>
      </c>
      <c r="B124" s="2" t="s">
        <v>8</v>
      </c>
      <c r="C124" s="2" t="s">
        <v>89</v>
      </c>
      <c r="D124" s="2" t="s">
        <v>110</v>
      </c>
      <c r="E124" s="2" t="s">
        <v>954</v>
      </c>
      <c r="G124" s="2" t="s">
        <v>318</v>
      </c>
      <c r="I124" s="2" t="s">
        <v>434</v>
      </c>
      <c r="J124" t="s">
        <v>727</v>
      </c>
      <c r="K124"/>
      <c r="L12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ETVMN.LATVMS.21_DIFW</v>
      </c>
      <c r="N124" s="13" t="str">
        <f>VLOOKUP(Tabla3[[#This Row],[Tipo]],TIPO[#All],2,0)</f>
        <v>ET</v>
      </c>
      <c r="O124" s="13" t="str">
        <f>VLOOKUP(Tabla3[[#This Row],[Lugar]],LUGAR[#All],2,0)</f>
        <v>VMN</v>
      </c>
      <c r="P124" s="13" t="str">
        <f>Tabla3[[#This Row],[SIGLAS]]</f>
        <v>LATVMS</v>
      </c>
      <c r="Q124" s="13" t="str">
        <f>_xlfn.IFNA(VLOOKUP(Tabla3[[#This Row],[Nivel de tension]],NIVEL[#All],2,0),"")</f>
        <v/>
      </c>
      <c r="R124" s="13" t="str">
        <f>_xlfn.IFNA(VLOOKUP(Tabla3[[#This Row],[DISPOSITIVO]],DISPOSITIVO[],2,0),"")</f>
        <v>21_</v>
      </c>
      <c r="S124" s="13" t="str">
        <f>_xlfn.IFNA(VLOOKUP(Tabla3[[#This Row],[PROTECCION SECUNDARIA]],PROTECCION_SECUNDARIA[],2,0),"")</f>
        <v/>
      </c>
      <c r="T124" s="13" t="str">
        <f>_xlfn.IFNA(VLOOKUP(Tabla3[[#This Row],[Que]],QUE[#All],2,0),"")</f>
        <v>DI</v>
      </c>
      <c r="U124" s="13" t="str">
        <f>_xlfn.IFNA(VLOOKUP(Tabla3[[#This Row],[Señal]],SEÑAL[#All],2,0),"")</f>
        <v>FW</v>
      </c>
      <c r="V124" s="13" t="str">
        <f>_xlfn.IFNA(VLOOKUP(Tabla3[[#This Row],[NUMERO]],SEÑAL[#All],2,0),"")</f>
        <v/>
      </c>
    </row>
    <row r="125" spans="1:22" x14ac:dyDescent="0.25">
      <c r="A125" s="25" t="s">
        <v>912</v>
      </c>
      <c r="B125" s="2" t="s">
        <v>8</v>
      </c>
      <c r="C125" s="2" t="s">
        <v>89</v>
      </c>
      <c r="D125" s="2" t="s">
        <v>110</v>
      </c>
      <c r="E125" s="2" t="s">
        <v>954</v>
      </c>
      <c r="G125" s="2" t="s">
        <v>318</v>
      </c>
      <c r="I125" s="2" t="s">
        <v>434</v>
      </c>
      <c r="J125" t="s">
        <v>783</v>
      </c>
      <c r="K125"/>
      <c r="L12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ETVMN.LATVMS.21_DIRV</v>
      </c>
      <c r="N125" s="13" t="str">
        <f>VLOOKUP(Tabla3[[#This Row],[Tipo]],TIPO[#All],2,0)</f>
        <v>ET</v>
      </c>
      <c r="O125" s="13" t="str">
        <f>VLOOKUP(Tabla3[[#This Row],[Lugar]],LUGAR[#All],2,0)</f>
        <v>VMN</v>
      </c>
      <c r="P125" s="13" t="str">
        <f>Tabla3[[#This Row],[SIGLAS]]</f>
        <v>LATVMS</v>
      </c>
      <c r="Q125" s="13" t="str">
        <f>_xlfn.IFNA(VLOOKUP(Tabla3[[#This Row],[Nivel de tension]],NIVEL[#All],2,0),"")</f>
        <v/>
      </c>
      <c r="R125" s="13" t="str">
        <f>_xlfn.IFNA(VLOOKUP(Tabla3[[#This Row],[DISPOSITIVO]],DISPOSITIVO[],2,0),"")</f>
        <v>21_</v>
      </c>
      <c r="S125" s="13" t="str">
        <f>_xlfn.IFNA(VLOOKUP(Tabla3[[#This Row],[PROTECCION SECUNDARIA]],PROTECCION_SECUNDARIA[],2,0),"")</f>
        <v/>
      </c>
      <c r="T125" s="13" t="str">
        <f>_xlfn.IFNA(VLOOKUP(Tabla3[[#This Row],[Que]],QUE[#All],2,0),"")</f>
        <v>DI</v>
      </c>
      <c r="U125" s="13" t="str">
        <f>_xlfn.IFNA(VLOOKUP(Tabla3[[#This Row],[Señal]],SEÑAL[#All],2,0),"")</f>
        <v>RV</v>
      </c>
      <c r="V125" s="13" t="str">
        <f>_xlfn.IFNA(VLOOKUP(Tabla3[[#This Row],[NUMERO]],SEÑAL[#All],2,0),"")</f>
        <v/>
      </c>
    </row>
    <row r="126" spans="1:22" x14ac:dyDescent="0.25">
      <c r="A126" s="25" t="s">
        <v>913</v>
      </c>
      <c r="B126" s="2" t="s">
        <v>8</v>
      </c>
      <c r="C126" s="2" t="s">
        <v>89</v>
      </c>
      <c r="D126" s="2" t="s">
        <v>110</v>
      </c>
      <c r="E126" s="2" t="s">
        <v>954</v>
      </c>
      <c r="G126" s="2" t="s">
        <v>318</v>
      </c>
      <c r="I126" s="2" t="s">
        <v>434</v>
      </c>
      <c r="J126" t="s">
        <v>820</v>
      </c>
      <c r="K126"/>
      <c r="L12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ETVMN.LATVMS.21_DITRI_Z1_FMONO</v>
      </c>
      <c r="N126" s="13" t="str">
        <f>VLOOKUP(Tabla3[[#This Row],[Tipo]],TIPO[#All],2,0)</f>
        <v>ET</v>
      </c>
      <c r="O126" s="13" t="str">
        <f>VLOOKUP(Tabla3[[#This Row],[Lugar]],LUGAR[#All],2,0)</f>
        <v>VMN</v>
      </c>
      <c r="P126" s="13" t="str">
        <f>Tabla3[[#This Row],[SIGLAS]]</f>
        <v>LATVMS</v>
      </c>
      <c r="Q126" s="13" t="str">
        <f>_xlfn.IFNA(VLOOKUP(Tabla3[[#This Row],[Nivel de tension]],NIVEL[#All],2,0),"")</f>
        <v/>
      </c>
      <c r="R126" s="13" t="str">
        <f>_xlfn.IFNA(VLOOKUP(Tabla3[[#This Row],[DISPOSITIVO]],DISPOSITIVO[],2,0),"")</f>
        <v>21_</v>
      </c>
      <c r="S126" s="13" t="str">
        <f>_xlfn.IFNA(VLOOKUP(Tabla3[[#This Row],[PROTECCION SECUNDARIA]],PROTECCION_SECUNDARIA[],2,0),"")</f>
        <v/>
      </c>
      <c r="T126" s="13" t="str">
        <f>_xlfn.IFNA(VLOOKUP(Tabla3[[#This Row],[Que]],QUE[#All],2,0),"")</f>
        <v>DI</v>
      </c>
      <c r="U126" s="13" t="str">
        <f>_xlfn.IFNA(VLOOKUP(Tabla3[[#This Row],[Señal]],SEÑAL[#All],2,0),"")</f>
        <v>TRI_Z1_FMONO</v>
      </c>
      <c r="V126" s="13" t="str">
        <f>_xlfn.IFNA(VLOOKUP(Tabla3[[#This Row],[NUMERO]],SEÑAL[#All],2,0),"")</f>
        <v/>
      </c>
    </row>
    <row r="127" spans="1:22" x14ac:dyDescent="0.25">
      <c r="A127" s="25" t="s">
        <v>914</v>
      </c>
      <c r="B127" s="2" t="s">
        <v>8</v>
      </c>
      <c r="C127" s="2" t="s">
        <v>89</v>
      </c>
      <c r="D127" s="2" t="s">
        <v>110</v>
      </c>
      <c r="E127" s="2" t="s">
        <v>954</v>
      </c>
      <c r="G127" s="2" t="s">
        <v>318</v>
      </c>
      <c r="I127" s="2" t="s">
        <v>434</v>
      </c>
      <c r="J127" t="s">
        <v>822</v>
      </c>
      <c r="K127"/>
      <c r="L12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ETVMN.LATVMS.21_DITRI_Z1_FMULT</v>
      </c>
      <c r="N127" s="13" t="str">
        <f>VLOOKUP(Tabla3[[#This Row],[Tipo]],TIPO[#All],2,0)</f>
        <v>ET</v>
      </c>
      <c r="O127" s="13" t="str">
        <f>VLOOKUP(Tabla3[[#This Row],[Lugar]],LUGAR[#All],2,0)</f>
        <v>VMN</v>
      </c>
      <c r="P127" s="13" t="str">
        <f>Tabla3[[#This Row],[SIGLAS]]</f>
        <v>LATVMS</v>
      </c>
      <c r="Q127" s="13" t="str">
        <f>_xlfn.IFNA(VLOOKUP(Tabla3[[#This Row],[Nivel de tension]],NIVEL[#All],2,0),"")</f>
        <v/>
      </c>
      <c r="R127" s="13" t="str">
        <f>_xlfn.IFNA(VLOOKUP(Tabla3[[#This Row],[DISPOSITIVO]],DISPOSITIVO[],2,0),"")</f>
        <v>21_</v>
      </c>
      <c r="S127" s="13" t="str">
        <f>_xlfn.IFNA(VLOOKUP(Tabla3[[#This Row],[PROTECCION SECUNDARIA]],PROTECCION_SECUNDARIA[],2,0),"")</f>
        <v/>
      </c>
      <c r="T127" s="13" t="str">
        <f>_xlfn.IFNA(VLOOKUP(Tabla3[[#This Row],[Que]],QUE[#All],2,0),"")</f>
        <v>DI</v>
      </c>
      <c r="U127" s="13" t="str">
        <f>_xlfn.IFNA(VLOOKUP(Tabla3[[#This Row],[Señal]],SEÑAL[#All],2,0),"")</f>
        <v>TRI_Z1_FMULT</v>
      </c>
      <c r="V127" s="13" t="str">
        <f>_xlfn.IFNA(VLOOKUP(Tabla3[[#This Row],[NUMERO]],SEÑAL[#All],2,0),"")</f>
        <v/>
      </c>
    </row>
    <row r="128" spans="1:22" x14ac:dyDescent="0.25">
      <c r="A128" s="25" t="s">
        <v>915</v>
      </c>
      <c r="B128" s="2" t="s">
        <v>8</v>
      </c>
      <c r="C128" s="2" t="s">
        <v>89</v>
      </c>
      <c r="D128" s="2" t="s">
        <v>110</v>
      </c>
      <c r="E128" s="2" t="s">
        <v>954</v>
      </c>
      <c r="G128" s="2" t="s">
        <v>318</v>
      </c>
      <c r="I128" s="2" t="s">
        <v>434</v>
      </c>
      <c r="J128" t="s">
        <v>824</v>
      </c>
      <c r="K128"/>
      <c r="L12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ETVMN.LATVMS.21_DITRI_Z1B_FMONO</v>
      </c>
      <c r="N128" s="13" t="str">
        <f>VLOOKUP(Tabla3[[#This Row],[Tipo]],TIPO[#All],2,0)</f>
        <v>ET</v>
      </c>
      <c r="O128" s="13" t="str">
        <f>VLOOKUP(Tabla3[[#This Row],[Lugar]],LUGAR[#All],2,0)</f>
        <v>VMN</v>
      </c>
      <c r="P128" s="13" t="str">
        <f>Tabla3[[#This Row],[SIGLAS]]</f>
        <v>LATVMS</v>
      </c>
      <c r="Q128" s="13" t="str">
        <f>_xlfn.IFNA(VLOOKUP(Tabla3[[#This Row],[Nivel de tension]],NIVEL[#All],2,0),"")</f>
        <v/>
      </c>
      <c r="R128" s="13" t="str">
        <f>_xlfn.IFNA(VLOOKUP(Tabla3[[#This Row],[DISPOSITIVO]],DISPOSITIVO[],2,0),"")</f>
        <v>21_</v>
      </c>
      <c r="S128" s="13" t="str">
        <f>_xlfn.IFNA(VLOOKUP(Tabla3[[#This Row],[PROTECCION SECUNDARIA]],PROTECCION_SECUNDARIA[],2,0),"")</f>
        <v/>
      </c>
      <c r="T128" s="13" t="str">
        <f>_xlfn.IFNA(VLOOKUP(Tabla3[[#This Row],[Que]],QUE[#All],2,0),"")</f>
        <v>DI</v>
      </c>
      <c r="U128" s="13" t="str">
        <f>_xlfn.IFNA(VLOOKUP(Tabla3[[#This Row],[Señal]],SEÑAL[#All],2,0),"")</f>
        <v>TRI_Z1B_FMONO</v>
      </c>
      <c r="V128" s="13" t="str">
        <f>_xlfn.IFNA(VLOOKUP(Tabla3[[#This Row],[NUMERO]],SEÑAL[#All],2,0),"")</f>
        <v/>
      </c>
    </row>
    <row r="129" spans="1:22" x14ac:dyDescent="0.25">
      <c r="A129" s="25" t="s">
        <v>916</v>
      </c>
      <c r="B129" s="2" t="s">
        <v>8</v>
      </c>
      <c r="C129" s="2" t="s">
        <v>89</v>
      </c>
      <c r="D129" s="2" t="s">
        <v>110</v>
      </c>
      <c r="E129" s="2" t="s">
        <v>954</v>
      </c>
      <c r="G129" s="2" t="s">
        <v>318</v>
      </c>
      <c r="I129" s="2" t="s">
        <v>434</v>
      </c>
      <c r="J129" t="s">
        <v>826</v>
      </c>
      <c r="K129"/>
      <c r="L12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ETVMN.LATVMS.21_DITRI_Z1B_FMULT</v>
      </c>
      <c r="N129" s="13" t="str">
        <f>VLOOKUP(Tabla3[[#This Row],[Tipo]],TIPO[#All],2,0)</f>
        <v>ET</v>
      </c>
      <c r="O129" s="13" t="str">
        <f>VLOOKUP(Tabla3[[#This Row],[Lugar]],LUGAR[#All],2,0)</f>
        <v>VMN</v>
      </c>
      <c r="P129" s="13" t="str">
        <f>Tabla3[[#This Row],[SIGLAS]]</f>
        <v>LATVMS</v>
      </c>
      <c r="Q129" s="13" t="str">
        <f>_xlfn.IFNA(VLOOKUP(Tabla3[[#This Row],[Nivel de tension]],NIVEL[#All],2,0),"")</f>
        <v/>
      </c>
      <c r="R129" s="13" t="str">
        <f>_xlfn.IFNA(VLOOKUP(Tabla3[[#This Row],[DISPOSITIVO]],DISPOSITIVO[],2,0),"")</f>
        <v>21_</v>
      </c>
      <c r="S129" s="13" t="str">
        <f>_xlfn.IFNA(VLOOKUP(Tabla3[[#This Row],[PROTECCION SECUNDARIA]],PROTECCION_SECUNDARIA[],2,0),"")</f>
        <v/>
      </c>
      <c r="T129" s="13" t="str">
        <f>_xlfn.IFNA(VLOOKUP(Tabla3[[#This Row],[Que]],QUE[#All],2,0),"")</f>
        <v>DI</v>
      </c>
      <c r="U129" s="13" t="str">
        <f>_xlfn.IFNA(VLOOKUP(Tabla3[[#This Row],[Señal]],SEÑAL[#All],2,0),"")</f>
        <v>TRI_Z1B_FMULT</v>
      </c>
      <c r="V129" s="13" t="str">
        <f>_xlfn.IFNA(VLOOKUP(Tabla3[[#This Row],[NUMERO]],SEÑAL[#All],2,0),"")</f>
        <v/>
      </c>
    </row>
    <row r="130" spans="1:22" x14ac:dyDescent="0.25">
      <c r="A130" s="25" t="s">
        <v>917</v>
      </c>
      <c r="B130" s="2" t="s">
        <v>8</v>
      </c>
      <c r="C130" s="2" t="s">
        <v>89</v>
      </c>
      <c r="D130" s="2" t="s">
        <v>110</v>
      </c>
      <c r="E130" s="2" t="s">
        <v>954</v>
      </c>
      <c r="G130" s="2" t="s">
        <v>1416</v>
      </c>
      <c r="I130" s="2" t="s">
        <v>2</v>
      </c>
      <c r="J130" t="s">
        <v>413</v>
      </c>
      <c r="K130"/>
      <c r="L13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ETVMN.LATVMS.21-79_BL</v>
      </c>
      <c r="N130" s="13" t="str">
        <f>VLOOKUP(Tabla3[[#This Row],[Tipo]],TIPO[#All],2,0)</f>
        <v>ET</v>
      </c>
      <c r="O130" s="13" t="str">
        <f>VLOOKUP(Tabla3[[#This Row],[Lugar]],LUGAR[#All],2,0)</f>
        <v>VMN</v>
      </c>
      <c r="P130" s="13" t="str">
        <f>Tabla3[[#This Row],[SIGLAS]]</f>
        <v>LATVMS</v>
      </c>
      <c r="Q130" s="13" t="str">
        <f>_xlfn.IFNA(VLOOKUP(Tabla3[[#This Row],[Nivel de tension]],NIVEL[#All],2,0),"")</f>
        <v/>
      </c>
      <c r="R130" s="13" t="str">
        <f>_xlfn.IFNA(VLOOKUP(Tabla3[[#This Row],[DISPOSITIVO]],DISPOSITIVO[],2,0),"")</f>
        <v>21-</v>
      </c>
      <c r="S130" s="13" t="str">
        <f>_xlfn.IFNA(VLOOKUP(Tabla3[[#This Row],[PROTECCION SECUNDARIA]],PROTECCION_SECUNDARIA[],2,0),"")</f>
        <v/>
      </c>
      <c r="T130" s="13" t="str">
        <f>_xlfn.IFNA(VLOOKUP(Tabla3[[#This Row],[Que]],QUE[#All],2,0),"")</f>
        <v>79</v>
      </c>
      <c r="U130" s="13" t="str">
        <f>_xlfn.IFNA(VLOOKUP(Tabla3[[#This Row],[Señal]],SEÑAL[#All],2,0),"")</f>
        <v>_BL</v>
      </c>
      <c r="V130" s="13" t="str">
        <f>_xlfn.IFNA(VLOOKUP(Tabla3[[#This Row],[NUMERO]],SEÑAL[#All],2,0),"")</f>
        <v/>
      </c>
    </row>
    <row r="131" spans="1:22" x14ac:dyDescent="0.25">
      <c r="A131" s="25" t="s">
        <v>918</v>
      </c>
      <c r="B131" s="2" t="s">
        <v>8</v>
      </c>
      <c r="C131" s="2" t="s">
        <v>89</v>
      </c>
      <c r="D131" s="2" t="s">
        <v>110</v>
      </c>
      <c r="E131" s="2" t="s">
        <v>954</v>
      </c>
      <c r="G131" s="2" t="s">
        <v>1416</v>
      </c>
      <c r="I131" s="2" t="s">
        <v>2</v>
      </c>
      <c r="J131" t="s">
        <v>603</v>
      </c>
      <c r="K131"/>
      <c r="L13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ETVMN.LATVMS.21-79_NOLISTO</v>
      </c>
      <c r="N131" s="13" t="str">
        <f>VLOOKUP(Tabla3[[#This Row],[Tipo]],TIPO[#All],2,0)</f>
        <v>ET</v>
      </c>
      <c r="O131" s="13" t="str">
        <f>VLOOKUP(Tabla3[[#This Row],[Lugar]],LUGAR[#All],2,0)</f>
        <v>VMN</v>
      </c>
      <c r="P131" s="13" t="str">
        <f>Tabla3[[#This Row],[SIGLAS]]</f>
        <v>LATVMS</v>
      </c>
      <c r="Q131" s="13" t="str">
        <f>_xlfn.IFNA(VLOOKUP(Tabla3[[#This Row],[Nivel de tension]],NIVEL[#All],2,0),"")</f>
        <v/>
      </c>
      <c r="R131" s="13" t="str">
        <f>_xlfn.IFNA(VLOOKUP(Tabla3[[#This Row],[DISPOSITIVO]],DISPOSITIVO[],2,0),"")</f>
        <v>21-</v>
      </c>
      <c r="S131" s="13" t="str">
        <f>_xlfn.IFNA(VLOOKUP(Tabla3[[#This Row],[PROTECCION SECUNDARIA]],PROTECCION_SECUNDARIA[],2,0),"")</f>
        <v/>
      </c>
      <c r="T131" s="13" t="str">
        <f>_xlfn.IFNA(VLOOKUP(Tabla3[[#This Row],[Que]],QUE[#All],2,0),"")</f>
        <v>79</v>
      </c>
      <c r="U131" s="13" t="str">
        <f>_xlfn.IFNA(VLOOKUP(Tabla3[[#This Row],[Señal]],SEÑAL[#All],2,0),"")</f>
        <v>_NOLISTO</v>
      </c>
      <c r="V131" s="13" t="str">
        <f>_xlfn.IFNA(VLOOKUP(Tabla3[[#This Row],[NUMERO]],SEÑAL[#All],2,0),"")</f>
        <v/>
      </c>
    </row>
    <row r="132" spans="1:22" x14ac:dyDescent="0.25">
      <c r="A132" s="25" t="s">
        <v>919</v>
      </c>
      <c r="B132" s="2" t="s">
        <v>8</v>
      </c>
      <c r="C132" s="2" t="s">
        <v>89</v>
      </c>
      <c r="D132" s="2" t="s">
        <v>110</v>
      </c>
      <c r="E132" s="2" t="s">
        <v>954</v>
      </c>
      <c r="G132" s="2" t="s">
        <v>1416</v>
      </c>
      <c r="I132" s="2" t="s">
        <v>2</v>
      </c>
      <c r="J132" t="s">
        <v>958</v>
      </c>
      <c r="K132"/>
      <c r="L13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ETVMN.LATVMS.21-79_52_NOLISTO</v>
      </c>
      <c r="N132" s="13" t="str">
        <f>VLOOKUP(Tabla3[[#This Row],[Tipo]],TIPO[#All],2,0)</f>
        <v>ET</v>
      </c>
      <c r="O132" s="13" t="str">
        <f>VLOOKUP(Tabla3[[#This Row],[Lugar]],LUGAR[#All],2,0)</f>
        <v>VMN</v>
      </c>
      <c r="P132" s="13" t="str">
        <f>Tabla3[[#This Row],[SIGLAS]]</f>
        <v>LATVMS</v>
      </c>
      <c r="Q132" s="13" t="str">
        <f>_xlfn.IFNA(VLOOKUP(Tabla3[[#This Row],[Nivel de tension]],NIVEL[#All],2,0),"")</f>
        <v/>
      </c>
      <c r="R132" s="13" t="str">
        <f>_xlfn.IFNA(VLOOKUP(Tabla3[[#This Row],[DISPOSITIVO]],DISPOSITIVO[],2,0),"")</f>
        <v>21-</v>
      </c>
      <c r="S132" s="13" t="str">
        <f>_xlfn.IFNA(VLOOKUP(Tabla3[[#This Row],[PROTECCION SECUNDARIA]],PROTECCION_SECUNDARIA[],2,0),"")</f>
        <v/>
      </c>
      <c r="T132" s="13" t="str">
        <f>_xlfn.IFNA(VLOOKUP(Tabla3[[#This Row],[Que]],QUE[#All],2,0),"")</f>
        <v>79</v>
      </c>
      <c r="U132" s="13" t="str">
        <f>_xlfn.IFNA(VLOOKUP(Tabla3[[#This Row],[Señal]],SEÑAL[#All],2,0),"")</f>
        <v>_52_NOLISTO</v>
      </c>
      <c r="V132" s="13" t="str">
        <f>_xlfn.IFNA(VLOOKUP(Tabla3[[#This Row],[NUMERO]],SEÑAL[#All],2,0),"")</f>
        <v/>
      </c>
    </row>
    <row r="133" spans="1:22" x14ac:dyDescent="0.25">
      <c r="A133" s="25" t="s">
        <v>920</v>
      </c>
      <c r="B133" s="2" t="s">
        <v>8</v>
      </c>
      <c r="C133" s="2" t="s">
        <v>89</v>
      </c>
      <c r="D133" s="2" t="s">
        <v>110</v>
      </c>
      <c r="E133" s="2" t="s">
        <v>954</v>
      </c>
      <c r="G133" s="2" t="s">
        <v>1416</v>
      </c>
      <c r="I133" s="2" t="s">
        <v>2</v>
      </c>
      <c r="J133" t="s">
        <v>587</v>
      </c>
      <c r="K133"/>
      <c r="L13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ETVMN.LATVMS.21-79_INI</v>
      </c>
      <c r="N133" s="13" t="str">
        <f>VLOOKUP(Tabla3[[#This Row],[Tipo]],TIPO[#All],2,0)</f>
        <v>ET</v>
      </c>
      <c r="O133" s="13" t="str">
        <f>VLOOKUP(Tabla3[[#This Row],[Lugar]],LUGAR[#All],2,0)</f>
        <v>VMN</v>
      </c>
      <c r="P133" s="13" t="str">
        <f>Tabla3[[#This Row],[SIGLAS]]</f>
        <v>LATVMS</v>
      </c>
      <c r="Q133" s="13" t="str">
        <f>_xlfn.IFNA(VLOOKUP(Tabla3[[#This Row],[Nivel de tension]],NIVEL[#All],2,0),"")</f>
        <v/>
      </c>
      <c r="R133" s="13" t="str">
        <f>_xlfn.IFNA(VLOOKUP(Tabla3[[#This Row],[DISPOSITIVO]],DISPOSITIVO[],2,0),"")</f>
        <v>21-</v>
      </c>
      <c r="S133" s="13" t="str">
        <f>_xlfn.IFNA(VLOOKUP(Tabla3[[#This Row],[PROTECCION SECUNDARIA]],PROTECCION_SECUNDARIA[],2,0),"")</f>
        <v/>
      </c>
      <c r="T133" s="13" t="str">
        <f>_xlfn.IFNA(VLOOKUP(Tabla3[[#This Row],[Que]],QUE[#All],2,0),"")</f>
        <v>79</v>
      </c>
      <c r="U133" s="13" t="str">
        <f>_xlfn.IFNA(VLOOKUP(Tabla3[[#This Row],[Señal]],SEÑAL[#All],2,0),"")</f>
        <v>_INI</v>
      </c>
      <c r="V133" s="13" t="str">
        <f>_xlfn.IFNA(VLOOKUP(Tabla3[[#This Row],[NUMERO]],SEÑAL[#All],2,0),"")</f>
        <v/>
      </c>
    </row>
    <row r="134" spans="1:22" x14ac:dyDescent="0.25">
      <c r="A134" s="25" t="s">
        <v>921</v>
      </c>
      <c r="B134" s="2" t="s">
        <v>8</v>
      </c>
      <c r="C134" s="2" t="s">
        <v>89</v>
      </c>
      <c r="D134" s="2" t="s">
        <v>110</v>
      </c>
      <c r="E134" s="2" t="s">
        <v>954</v>
      </c>
      <c r="G134" s="2" t="s">
        <v>1416</v>
      </c>
      <c r="I134" s="2" t="s">
        <v>2</v>
      </c>
      <c r="J134" t="s">
        <v>957</v>
      </c>
      <c r="K134"/>
      <c r="L13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ETVMN.LATVMS.21-79_CICDO</v>
      </c>
      <c r="N134" s="13" t="str">
        <f>VLOOKUP(Tabla3[[#This Row],[Tipo]],TIPO[#All],2,0)</f>
        <v>ET</v>
      </c>
      <c r="O134" s="13" t="str">
        <f>VLOOKUP(Tabla3[[#This Row],[Lugar]],LUGAR[#All],2,0)</f>
        <v>VMN</v>
      </c>
      <c r="P134" s="13" t="str">
        <f>Tabla3[[#This Row],[SIGLAS]]</f>
        <v>LATVMS</v>
      </c>
      <c r="Q134" s="13" t="str">
        <f>_xlfn.IFNA(VLOOKUP(Tabla3[[#This Row],[Nivel de tension]],NIVEL[#All],2,0),"")</f>
        <v/>
      </c>
      <c r="R134" s="13" t="str">
        <f>_xlfn.IFNA(VLOOKUP(Tabla3[[#This Row],[DISPOSITIVO]],DISPOSITIVO[],2,0),"")</f>
        <v>21-</v>
      </c>
      <c r="S134" s="13" t="str">
        <f>_xlfn.IFNA(VLOOKUP(Tabla3[[#This Row],[PROTECCION SECUNDARIA]],PROTECCION_SECUNDARIA[],2,0),"")</f>
        <v/>
      </c>
      <c r="T134" s="13" t="str">
        <f>_xlfn.IFNA(VLOOKUP(Tabla3[[#This Row],[Que]],QUE[#All],2,0),"")</f>
        <v>79</v>
      </c>
      <c r="U134" s="13" t="str">
        <f>_xlfn.IFNA(VLOOKUP(Tabla3[[#This Row],[Señal]],SEÑAL[#All],2,0),"")</f>
        <v>_CICDO</v>
      </c>
      <c r="V134" s="13" t="str">
        <f>_xlfn.IFNA(VLOOKUP(Tabla3[[#This Row],[NUMERO]],SEÑAL[#All],2,0),"")</f>
        <v/>
      </c>
    </row>
    <row r="135" spans="1:22" x14ac:dyDescent="0.25">
      <c r="A135" s="25" t="s">
        <v>922</v>
      </c>
      <c r="B135" s="2" t="s">
        <v>8</v>
      </c>
      <c r="C135" s="2" t="s">
        <v>89</v>
      </c>
      <c r="D135" s="2" t="s">
        <v>110</v>
      </c>
      <c r="E135" s="2" t="s">
        <v>954</v>
      </c>
      <c r="G135" s="2" t="s">
        <v>1416</v>
      </c>
      <c r="I135" s="2" t="s">
        <v>2</v>
      </c>
      <c r="J135" t="s">
        <v>568</v>
      </c>
      <c r="K135"/>
      <c r="L13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ETVMN.LATVMS.21-79_EX</v>
      </c>
      <c r="N135" s="13" t="str">
        <f>VLOOKUP(Tabla3[[#This Row],[Tipo]],TIPO[#All],2,0)</f>
        <v>ET</v>
      </c>
      <c r="O135" s="13" t="str">
        <f>VLOOKUP(Tabla3[[#This Row],[Lugar]],LUGAR[#All],2,0)</f>
        <v>VMN</v>
      </c>
      <c r="P135" s="13" t="str">
        <f>Tabla3[[#This Row],[SIGLAS]]</f>
        <v>LATVMS</v>
      </c>
      <c r="Q135" s="13" t="str">
        <f>_xlfn.IFNA(VLOOKUP(Tabla3[[#This Row],[Nivel de tension]],NIVEL[#All],2,0),"")</f>
        <v/>
      </c>
      <c r="R135" s="13" t="str">
        <f>_xlfn.IFNA(VLOOKUP(Tabla3[[#This Row],[DISPOSITIVO]],DISPOSITIVO[],2,0),"")</f>
        <v>21-</v>
      </c>
      <c r="S135" s="13" t="str">
        <f>_xlfn.IFNA(VLOOKUP(Tabla3[[#This Row],[PROTECCION SECUNDARIA]],PROTECCION_SECUNDARIA[],2,0),"")</f>
        <v/>
      </c>
      <c r="T135" s="13" t="str">
        <f>_xlfn.IFNA(VLOOKUP(Tabla3[[#This Row],[Que]],QUE[#All],2,0),"")</f>
        <v>79</v>
      </c>
      <c r="U135" s="13" t="str">
        <f>_xlfn.IFNA(VLOOKUP(Tabla3[[#This Row],[Señal]],SEÑAL[#All],2,0),"")</f>
        <v>_EX</v>
      </c>
      <c r="V135" s="13" t="str">
        <f>_xlfn.IFNA(VLOOKUP(Tabla3[[#This Row],[NUMERO]],SEÑAL[#All],2,0),"")</f>
        <v/>
      </c>
    </row>
    <row r="136" spans="1:22" x14ac:dyDescent="0.25">
      <c r="A136" s="25" t="s">
        <v>923</v>
      </c>
      <c r="B136" s="2" t="s">
        <v>8</v>
      </c>
      <c r="C136" s="2" t="s">
        <v>89</v>
      </c>
      <c r="D136" s="2" t="s">
        <v>110</v>
      </c>
      <c r="E136" s="2" t="s">
        <v>954</v>
      </c>
      <c r="G136" s="2" t="s">
        <v>1416</v>
      </c>
      <c r="I136" s="2" t="s">
        <v>2</v>
      </c>
      <c r="J136" t="s">
        <v>719</v>
      </c>
      <c r="K136"/>
      <c r="L13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ETVMN.LATVMS.21-79_DEF</v>
      </c>
      <c r="N136" s="13" t="str">
        <f>VLOOKUP(Tabla3[[#This Row],[Tipo]],TIPO[#All],2,0)</f>
        <v>ET</v>
      </c>
      <c r="O136" s="13" t="str">
        <f>VLOOKUP(Tabla3[[#This Row],[Lugar]],LUGAR[#All],2,0)</f>
        <v>VMN</v>
      </c>
      <c r="P136" s="13" t="str">
        <f>Tabla3[[#This Row],[SIGLAS]]</f>
        <v>LATVMS</v>
      </c>
      <c r="Q136" s="13" t="str">
        <f>_xlfn.IFNA(VLOOKUP(Tabla3[[#This Row],[Nivel de tension]],NIVEL[#All],2,0),"")</f>
        <v/>
      </c>
      <c r="R136" s="13" t="str">
        <f>_xlfn.IFNA(VLOOKUP(Tabla3[[#This Row],[DISPOSITIVO]],DISPOSITIVO[],2,0),"")</f>
        <v>21-</v>
      </c>
      <c r="S136" s="13" t="str">
        <f>_xlfn.IFNA(VLOOKUP(Tabla3[[#This Row],[PROTECCION SECUNDARIA]],PROTECCION_SECUNDARIA[],2,0),"")</f>
        <v/>
      </c>
      <c r="T136" s="13" t="str">
        <f>_xlfn.IFNA(VLOOKUP(Tabla3[[#This Row],[Que]],QUE[#All],2,0),"")</f>
        <v>79</v>
      </c>
      <c r="U136" s="13" t="str">
        <f>_xlfn.IFNA(VLOOKUP(Tabla3[[#This Row],[Señal]],SEÑAL[#All],2,0),"")</f>
        <v>_DEF</v>
      </c>
      <c r="V136" s="13" t="str">
        <f>_xlfn.IFNA(VLOOKUP(Tabla3[[#This Row],[NUMERO]],SEÑAL[#All],2,0),"")</f>
        <v/>
      </c>
    </row>
    <row r="137" spans="1:22" x14ac:dyDescent="0.25">
      <c r="A137" s="25" t="s">
        <v>924</v>
      </c>
      <c r="B137" s="2" t="s">
        <v>8</v>
      </c>
      <c r="C137" s="2" t="s">
        <v>89</v>
      </c>
      <c r="D137" s="2" t="s">
        <v>110</v>
      </c>
      <c r="E137" s="2" t="s">
        <v>954</v>
      </c>
      <c r="G137" s="2" t="s">
        <v>1416</v>
      </c>
      <c r="I137" s="2" t="s">
        <v>2</v>
      </c>
      <c r="J137" t="s">
        <v>720</v>
      </c>
      <c r="K137"/>
      <c r="L13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ETVMN.LATVMS.21-79_DEF_TRI</v>
      </c>
      <c r="N137" s="13" t="str">
        <f>VLOOKUP(Tabla3[[#This Row],[Tipo]],TIPO[#All],2,0)</f>
        <v>ET</v>
      </c>
      <c r="O137" s="13" t="str">
        <f>VLOOKUP(Tabla3[[#This Row],[Lugar]],LUGAR[#All],2,0)</f>
        <v>VMN</v>
      </c>
      <c r="P137" s="13" t="str">
        <f>Tabla3[[#This Row],[SIGLAS]]</f>
        <v>LATVMS</v>
      </c>
      <c r="Q137" s="13" t="str">
        <f>_xlfn.IFNA(VLOOKUP(Tabla3[[#This Row],[Nivel de tension]],NIVEL[#All],2,0),"")</f>
        <v/>
      </c>
      <c r="R137" s="13" t="str">
        <f>_xlfn.IFNA(VLOOKUP(Tabla3[[#This Row],[DISPOSITIVO]],DISPOSITIVO[],2,0),"")</f>
        <v>21-</v>
      </c>
      <c r="S137" s="13" t="str">
        <f>_xlfn.IFNA(VLOOKUP(Tabla3[[#This Row],[PROTECCION SECUNDARIA]],PROTECCION_SECUNDARIA[],2,0),"")</f>
        <v/>
      </c>
      <c r="T137" s="13" t="str">
        <f>_xlfn.IFNA(VLOOKUP(Tabla3[[#This Row],[Que]],QUE[#All],2,0),"")</f>
        <v>79</v>
      </c>
      <c r="U137" s="13" t="str">
        <f>_xlfn.IFNA(VLOOKUP(Tabla3[[#This Row],[Señal]],SEÑAL[#All],2,0),"")</f>
        <v>_DEF_TRI</v>
      </c>
      <c r="V137" s="13" t="str">
        <f>_xlfn.IFNA(VLOOKUP(Tabla3[[#This Row],[NUMERO]],SEÑAL[#All],2,0),"")</f>
        <v/>
      </c>
    </row>
    <row r="138" spans="1:22" x14ac:dyDescent="0.25">
      <c r="A138" s="25" t="s">
        <v>963</v>
      </c>
      <c r="B138" s="2" t="s">
        <v>8</v>
      </c>
      <c r="C138" s="2" t="s">
        <v>89</v>
      </c>
      <c r="D138" s="2" t="s">
        <v>110</v>
      </c>
      <c r="E138" s="2" t="s">
        <v>954</v>
      </c>
      <c r="G138" s="2" t="s">
        <v>1416</v>
      </c>
      <c r="H138" s="2" t="s">
        <v>1386</v>
      </c>
      <c r="I138" s="2" t="s">
        <v>403</v>
      </c>
      <c r="J138"/>
      <c r="K138"/>
      <c r="L13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ETVMN.LATVMS.21-51_AR</v>
      </c>
      <c r="N138" s="13" t="str">
        <f>VLOOKUP(Tabla3[[#This Row],[Tipo]],TIPO[#All],2,0)</f>
        <v>ET</v>
      </c>
      <c r="O138" s="13" t="str">
        <f>VLOOKUP(Tabla3[[#This Row],[Lugar]],LUGAR[#All],2,0)</f>
        <v>VMN</v>
      </c>
      <c r="P138" s="13" t="str">
        <f>Tabla3[[#This Row],[SIGLAS]]</f>
        <v>LATVMS</v>
      </c>
      <c r="Q138" s="13" t="str">
        <f>_xlfn.IFNA(VLOOKUP(Tabla3[[#This Row],[Nivel de tension]],NIVEL[#All],2,0),"")</f>
        <v/>
      </c>
      <c r="R138" s="13" t="str">
        <f>_xlfn.IFNA(VLOOKUP(Tabla3[[#This Row],[DISPOSITIVO]],DISPOSITIVO[],2,0),"")</f>
        <v>21-</v>
      </c>
      <c r="S138" s="13" t="str">
        <f>_xlfn.IFNA(VLOOKUP(Tabla3[[#This Row],[PROTECCION SECUNDARIA]],PROTECCION_SECUNDARIA[],2,0),"")</f>
        <v>51_</v>
      </c>
      <c r="T138" s="13" t="str">
        <f>_xlfn.IFNA(VLOOKUP(Tabla3[[#This Row],[Que]],QUE[#All],2,0),"")</f>
        <v>AR</v>
      </c>
      <c r="U138" s="13" t="str">
        <f>_xlfn.IFNA(VLOOKUP(Tabla3[[#This Row],[Señal]],SEÑAL[#All],2,0),"")</f>
        <v/>
      </c>
      <c r="V138" s="13" t="str">
        <f>_xlfn.IFNA(VLOOKUP(Tabla3[[#This Row],[NUMERO]],SEÑAL[#All],2,0),"")</f>
        <v/>
      </c>
    </row>
    <row r="139" spans="1:22" x14ac:dyDescent="0.25">
      <c r="A139" s="25" t="s">
        <v>964</v>
      </c>
      <c r="B139" s="2" t="s">
        <v>8</v>
      </c>
      <c r="C139" s="2" t="s">
        <v>89</v>
      </c>
      <c r="D139" s="2" t="s">
        <v>110</v>
      </c>
      <c r="E139" s="2" t="s">
        <v>954</v>
      </c>
      <c r="G139" s="2" t="s">
        <v>1416</v>
      </c>
      <c r="H139" s="2" t="s">
        <v>1386</v>
      </c>
      <c r="I139" s="2" t="s">
        <v>403</v>
      </c>
      <c r="J139" t="s">
        <v>611</v>
      </c>
      <c r="K139"/>
      <c r="L13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ETVMN.LATVMS.21-51_AR_R</v>
      </c>
      <c r="N139" s="13" t="str">
        <f>VLOOKUP(Tabla3[[#This Row],[Tipo]],TIPO[#All],2,0)</f>
        <v>ET</v>
      </c>
      <c r="O139" s="13" t="str">
        <f>VLOOKUP(Tabla3[[#This Row],[Lugar]],LUGAR[#All],2,0)</f>
        <v>VMN</v>
      </c>
      <c r="P139" s="13" t="str">
        <f>Tabla3[[#This Row],[SIGLAS]]</f>
        <v>LATVMS</v>
      </c>
      <c r="Q139" s="13" t="str">
        <f>_xlfn.IFNA(VLOOKUP(Tabla3[[#This Row],[Nivel de tension]],NIVEL[#All],2,0),"")</f>
        <v/>
      </c>
      <c r="R139" s="13" t="str">
        <f>_xlfn.IFNA(VLOOKUP(Tabla3[[#This Row],[DISPOSITIVO]],DISPOSITIVO[],2,0),"")</f>
        <v>21-</v>
      </c>
      <c r="S139" s="13" t="str">
        <f>_xlfn.IFNA(VLOOKUP(Tabla3[[#This Row],[PROTECCION SECUNDARIA]],PROTECCION_SECUNDARIA[],2,0),"")</f>
        <v>51_</v>
      </c>
      <c r="T139" s="13" t="str">
        <f>_xlfn.IFNA(VLOOKUP(Tabla3[[#This Row],[Que]],QUE[#All],2,0),"")</f>
        <v>AR</v>
      </c>
      <c r="U139" s="13" t="str">
        <f>_xlfn.IFNA(VLOOKUP(Tabla3[[#This Row],[Señal]],SEÑAL[#All],2,0),"")</f>
        <v>_R</v>
      </c>
      <c r="V139" s="13" t="str">
        <f>_xlfn.IFNA(VLOOKUP(Tabla3[[#This Row],[NUMERO]],SEÑAL[#All],2,0),"")</f>
        <v/>
      </c>
    </row>
    <row r="140" spans="1:22" x14ac:dyDescent="0.25">
      <c r="A140" s="25" t="s">
        <v>965</v>
      </c>
      <c r="B140" s="2" t="s">
        <v>8</v>
      </c>
      <c r="C140" s="2" t="s">
        <v>89</v>
      </c>
      <c r="D140" s="2" t="s">
        <v>110</v>
      </c>
      <c r="E140" s="2" t="s">
        <v>954</v>
      </c>
      <c r="G140" s="2" t="s">
        <v>1416</v>
      </c>
      <c r="H140" s="2" t="s">
        <v>1386</v>
      </c>
      <c r="I140" s="2" t="s">
        <v>403</v>
      </c>
      <c r="J140" t="s">
        <v>634</v>
      </c>
      <c r="K140"/>
      <c r="L14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ETVMN.LATVMS.21-51_AR_S</v>
      </c>
      <c r="N140" s="13" t="str">
        <f>VLOOKUP(Tabla3[[#This Row],[Tipo]],TIPO[#All],2,0)</f>
        <v>ET</v>
      </c>
      <c r="O140" s="13" t="str">
        <f>VLOOKUP(Tabla3[[#This Row],[Lugar]],LUGAR[#All],2,0)</f>
        <v>VMN</v>
      </c>
      <c r="P140" s="13" t="str">
        <f>Tabla3[[#This Row],[SIGLAS]]</f>
        <v>LATVMS</v>
      </c>
      <c r="Q140" s="13" t="str">
        <f>_xlfn.IFNA(VLOOKUP(Tabla3[[#This Row],[Nivel de tension]],NIVEL[#All],2,0),"")</f>
        <v/>
      </c>
      <c r="R140" s="13" t="str">
        <f>_xlfn.IFNA(VLOOKUP(Tabla3[[#This Row],[DISPOSITIVO]],DISPOSITIVO[],2,0),"")</f>
        <v>21-</v>
      </c>
      <c r="S140" s="13" t="str">
        <f>_xlfn.IFNA(VLOOKUP(Tabla3[[#This Row],[PROTECCION SECUNDARIA]],PROTECCION_SECUNDARIA[],2,0),"")</f>
        <v>51_</v>
      </c>
      <c r="T140" s="13" t="str">
        <f>_xlfn.IFNA(VLOOKUP(Tabla3[[#This Row],[Que]],QUE[#All],2,0),"")</f>
        <v>AR</v>
      </c>
      <c r="U140" s="13" t="str">
        <f>_xlfn.IFNA(VLOOKUP(Tabla3[[#This Row],[Señal]],SEÑAL[#All],2,0),"")</f>
        <v>_S</v>
      </c>
      <c r="V140" s="13" t="str">
        <f>_xlfn.IFNA(VLOOKUP(Tabla3[[#This Row],[NUMERO]],SEÑAL[#All],2,0),"")</f>
        <v/>
      </c>
    </row>
    <row r="141" spans="1:22" x14ac:dyDescent="0.25">
      <c r="A141" s="25" t="s">
        <v>966</v>
      </c>
      <c r="B141" s="2" t="s">
        <v>8</v>
      </c>
      <c r="C141" s="2" t="s">
        <v>89</v>
      </c>
      <c r="D141" s="2" t="s">
        <v>110</v>
      </c>
      <c r="E141" s="2" t="s">
        <v>954</v>
      </c>
      <c r="G141" s="2" t="s">
        <v>1416</v>
      </c>
      <c r="H141" s="2" t="s">
        <v>1386</v>
      </c>
      <c r="I141" s="2" t="s">
        <v>403</v>
      </c>
      <c r="J141" t="s">
        <v>647</v>
      </c>
      <c r="K141"/>
      <c r="L14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ETVMN.LATVMS.21-51_AR_T</v>
      </c>
      <c r="N141" s="13" t="str">
        <f>VLOOKUP(Tabla3[[#This Row],[Tipo]],TIPO[#All],2,0)</f>
        <v>ET</v>
      </c>
      <c r="O141" s="13" t="str">
        <f>VLOOKUP(Tabla3[[#This Row],[Lugar]],LUGAR[#All],2,0)</f>
        <v>VMN</v>
      </c>
      <c r="P141" s="13" t="str">
        <f>Tabla3[[#This Row],[SIGLAS]]</f>
        <v>LATVMS</v>
      </c>
      <c r="Q141" s="13" t="str">
        <f>_xlfn.IFNA(VLOOKUP(Tabla3[[#This Row],[Nivel de tension]],NIVEL[#All],2,0),"")</f>
        <v/>
      </c>
      <c r="R141" s="13" t="str">
        <f>_xlfn.IFNA(VLOOKUP(Tabla3[[#This Row],[DISPOSITIVO]],DISPOSITIVO[],2,0),"")</f>
        <v>21-</v>
      </c>
      <c r="S141" s="13" t="str">
        <f>_xlfn.IFNA(VLOOKUP(Tabla3[[#This Row],[PROTECCION SECUNDARIA]],PROTECCION_SECUNDARIA[],2,0),"")</f>
        <v>51_</v>
      </c>
      <c r="T141" s="13" t="str">
        <f>_xlfn.IFNA(VLOOKUP(Tabla3[[#This Row],[Que]],QUE[#All],2,0),"")</f>
        <v>AR</v>
      </c>
      <c r="U141" s="13" t="str">
        <f>_xlfn.IFNA(VLOOKUP(Tabla3[[#This Row],[Señal]],SEÑAL[#All],2,0),"")</f>
        <v>_T</v>
      </c>
      <c r="V141" s="13" t="str">
        <f>_xlfn.IFNA(VLOOKUP(Tabla3[[#This Row],[NUMERO]],SEÑAL[#All],2,0),"")</f>
        <v/>
      </c>
    </row>
    <row r="142" spans="1:22" x14ac:dyDescent="0.25">
      <c r="A142" s="25" t="s">
        <v>967</v>
      </c>
      <c r="B142" s="2" t="s">
        <v>8</v>
      </c>
      <c r="C142" s="2" t="s">
        <v>89</v>
      </c>
      <c r="D142" s="2" t="s">
        <v>110</v>
      </c>
      <c r="E142" s="2" t="s">
        <v>954</v>
      </c>
      <c r="G142" s="2" t="s">
        <v>1416</v>
      </c>
      <c r="H142" s="2" t="s">
        <v>1388</v>
      </c>
      <c r="I142" s="2" t="s">
        <v>403</v>
      </c>
      <c r="J142"/>
      <c r="K142"/>
      <c r="L14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ETVMN.LATVMS.21-51N_AR</v>
      </c>
      <c r="N142" s="13" t="str">
        <f>VLOOKUP(Tabla3[[#This Row],[Tipo]],TIPO[#All],2,0)</f>
        <v>ET</v>
      </c>
      <c r="O142" s="13" t="str">
        <f>VLOOKUP(Tabla3[[#This Row],[Lugar]],LUGAR[#All],2,0)</f>
        <v>VMN</v>
      </c>
      <c r="P142" s="13" t="str">
        <f>Tabla3[[#This Row],[SIGLAS]]</f>
        <v>LATVMS</v>
      </c>
      <c r="Q142" s="13" t="str">
        <f>_xlfn.IFNA(VLOOKUP(Tabla3[[#This Row],[Nivel de tension]],NIVEL[#All],2,0),"")</f>
        <v/>
      </c>
      <c r="R142" s="13" t="str">
        <f>_xlfn.IFNA(VLOOKUP(Tabla3[[#This Row],[DISPOSITIVO]],DISPOSITIVO[],2,0),"")</f>
        <v>21-</v>
      </c>
      <c r="S142" s="13" t="str">
        <f>_xlfn.IFNA(VLOOKUP(Tabla3[[#This Row],[PROTECCION SECUNDARIA]],PROTECCION_SECUNDARIA[],2,0),"")</f>
        <v>51N_</v>
      </c>
      <c r="T142" s="13" t="str">
        <f>_xlfn.IFNA(VLOOKUP(Tabla3[[#This Row],[Que]],QUE[#All],2,0),"")</f>
        <v>AR</v>
      </c>
      <c r="U142" s="13" t="str">
        <f>_xlfn.IFNA(VLOOKUP(Tabla3[[#This Row],[Señal]],SEÑAL[#All],2,0),"")</f>
        <v/>
      </c>
      <c r="V142" s="13" t="str">
        <f>_xlfn.IFNA(VLOOKUP(Tabla3[[#This Row],[NUMERO]],SEÑAL[#All],2,0),"")</f>
        <v/>
      </c>
    </row>
    <row r="143" spans="1:22" x14ac:dyDescent="0.25">
      <c r="A143" s="25" t="s">
        <v>925</v>
      </c>
      <c r="B143" s="2" t="s">
        <v>8</v>
      </c>
      <c r="C143" s="2" t="s">
        <v>89</v>
      </c>
      <c r="D143" s="2" t="s">
        <v>110</v>
      </c>
      <c r="E143" s="2" t="s">
        <v>954</v>
      </c>
      <c r="G143" s="2" t="s">
        <v>1416</v>
      </c>
      <c r="H143" s="2" t="s">
        <v>1407</v>
      </c>
      <c r="I143" s="2" t="s">
        <v>434</v>
      </c>
      <c r="J143"/>
      <c r="K143"/>
      <c r="L14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ETVMN.LATVMS.21-5051_DI</v>
      </c>
      <c r="N143" s="13" t="str">
        <f>VLOOKUP(Tabla3[[#This Row],[Tipo]],TIPO[#All],2,0)</f>
        <v>ET</v>
      </c>
      <c r="O143" s="13" t="str">
        <f>VLOOKUP(Tabla3[[#This Row],[Lugar]],LUGAR[#All],2,0)</f>
        <v>VMN</v>
      </c>
      <c r="P143" s="13" t="str">
        <f>Tabla3[[#This Row],[SIGLAS]]</f>
        <v>LATVMS</v>
      </c>
      <c r="Q143" s="13" t="str">
        <f>_xlfn.IFNA(VLOOKUP(Tabla3[[#This Row],[Nivel de tension]],NIVEL[#All],2,0),"")</f>
        <v/>
      </c>
      <c r="R143" s="13" t="str">
        <f>_xlfn.IFNA(VLOOKUP(Tabla3[[#This Row],[DISPOSITIVO]],DISPOSITIVO[],2,0),"")</f>
        <v>21-</v>
      </c>
      <c r="S143" s="13" t="str">
        <f>_xlfn.IFNA(VLOOKUP(Tabla3[[#This Row],[PROTECCION SECUNDARIA]],PROTECCION_SECUNDARIA[],2,0),"")</f>
        <v>5051_</v>
      </c>
      <c r="T143" s="13" t="str">
        <f>_xlfn.IFNA(VLOOKUP(Tabla3[[#This Row],[Que]],QUE[#All],2,0),"")</f>
        <v>DI</v>
      </c>
      <c r="U143" s="13" t="str">
        <f>_xlfn.IFNA(VLOOKUP(Tabla3[[#This Row],[Señal]],SEÑAL[#All],2,0),"")</f>
        <v/>
      </c>
      <c r="V143" s="13" t="str">
        <f>_xlfn.IFNA(VLOOKUP(Tabla3[[#This Row],[NUMERO]],SEÑAL[#All],2,0),"")</f>
        <v/>
      </c>
    </row>
    <row r="144" spans="1:22" x14ac:dyDescent="0.25">
      <c r="A144" s="25" t="s">
        <v>968</v>
      </c>
      <c r="B144" s="2" t="s">
        <v>8</v>
      </c>
      <c r="C144" s="2" t="s">
        <v>89</v>
      </c>
      <c r="D144" s="2" t="s">
        <v>110</v>
      </c>
      <c r="E144" s="2" t="s">
        <v>954</v>
      </c>
      <c r="G144" s="2" t="s">
        <v>1416</v>
      </c>
      <c r="H144" s="2" t="s">
        <v>1386</v>
      </c>
      <c r="I144" s="2" t="s">
        <v>434</v>
      </c>
      <c r="J144" t="s">
        <v>654</v>
      </c>
      <c r="K144"/>
      <c r="L14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ETVMN.LATVMS.21-51_DI_TRI</v>
      </c>
      <c r="N144" s="13" t="str">
        <f>VLOOKUP(Tabla3[[#This Row],[Tipo]],TIPO[#All],2,0)</f>
        <v>ET</v>
      </c>
      <c r="O144" s="13" t="str">
        <f>VLOOKUP(Tabla3[[#This Row],[Lugar]],LUGAR[#All],2,0)</f>
        <v>VMN</v>
      </c>
      <c r="P144" s="13" t="str">
        <f>Tabla3[[#This Row],[SIGLAS]]</f>
        <v>LATVMS</v>
      </c>
      <c r="Q144" s="13" t="str">
        <f>_xlfn.IFNA(VLOOKUP(Tabla3[[#This Row],[Nivel de tension]],NIVEL[#All],2,0),"")</f>
        <v/>
      </c>
      <c r="R144" s="13" t="str">
        <f>_xlfn.IFNA(VLOOKUP(Tabla3[[#This Row],[DISPOSITIVO]],DISPOSITIVO[],2,0),"")</f>
        <v>21-</v>
      </c>
      <c r="S144" s="13" t="str">
        <f>_xlfn.IFNA(VLOOKUP(Tabla3[[#This Row],[PROTECCION SECUNDARIA]],PROTECCION_SECUNDARIA[],2,0),"")</f>
        <v>51_</v>
      </c>
      <c r="T144" s="13" t="str">
        <f>_xlfn.IFNA(VLOOKUP(Tabla3[[#This Row],[Que]],QUE[#All],2,0),"")</f>
        <v>DI</v>
      </c>
      <c r="U144" s="13" t="str">
        <f>_xlfn.IFNA(VLOOKUP(Tabla3[[#This Row],[Señal]],SEÑAL[#All],2,0),"")</f>
        <v>_TRI</v>
      </c>
      <c r="V144" s="13" t="str">
        <f>_xlfn.IFNA(VLOOKUP(Tabla3[[#This Row],[NUMERO]],SEÑAL[#All],2,0),"")</f>
        <v/>
      </c>
    </row>
    <row r="145" spans="1:22" x14ac:dyDescent="0.25">
      <c r="A145" s="25" t="s">
        <v>969</v>
      </c>
      <c r="B145" s="2" t="s">
        <v>8</v>
      </c>
      <c r="C145" s="2" t="s">
        <v>89</v>
      </c>
      <c r="D145" s="2" t="s">
        <v>110</v>
      </c>
      <c r="E145" s="2" t="s">
        <v>954</v>
      </c>
      <c r="G145" s="2" t="s">
        <v>1416</v>
      </c>
      <c r="H145" s="2" t="s">
        <v>1385</v>
      </c>
      <c r="I145" s="2" t="s">
        <v>434</v>
      </c>
      <c r="J145"/>
      <c r="K145"/>
      <c r="L14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ETVMN.LATVMS.21-50_DI</v>
      </c>
      <c r="N145" s="13" t="str">
        <f>VLOOKUP(Tabla3[[#This Row],[Tipo]],TIPO[#All],2,0)</f>
        <v>ET</v>
      </c>
      <c r="O145" s="13" t="str">
        <f>VLOOKUP(Tabla3[[#This Row],[Lugar]],LUGAR[#All],2,0)</f>
        <v>VMN</v>
      </c>
      <c r="P145" s="13" t="str">
        <f>Tabla3[[#This Row],[SIGLAS]]</f>
        <v>LATVMS</v>
      </c>
      <c r="Q145" s="13" t="str">
        <f>_xlfn.IFNA(VLOOKUP(Tabla3[[#This Row],[Nivel de tension]],NIVEL[#All],2,0),"")</f>
        <v/>
      </c>
      <c r="R145" s="13" t="str">
        <f>_xlfn.IFNA(VLOOKUP(Tabla3[[#This Row],[DISPOSITIVO]],DISPOSITIVO[],2,0),"")</f>
        <v>21-</v>
      </c>
      <c r="S145" s="13" t="str">
        <f>_xlfn.IFNA(VLOOKUP(Tabla3[[#This Row],[PROTECCION SECUNDARIA]],PROTECCION_SECUNDARIA[],2,0),"")</f>
        <v>50_</v>
      </c>
      <c r="T145" s="13" t="str">
        <f>_xlfn.IFNA(VLOOKUP(Tabla3[[#This Row],[Que]],QUE[#All],2,0),"")</f>
        <v>DI</v>
      </c>
      <c r="U145" s="13" t="str">
        <f>_xlfn.IFNA(VLOOKUP(Tabla3[[#This Row],[Señal]],SEÑAL[#All],2,0),"")</f>
        <v/>
      </c>
      <c r="V145" s="13" t="str">
        <f>_xlfn.IFNA(VLOOKUP(Tabla3[[#This Row],[NUMERO]],SEÑAL[#All],2,0),"")</f>
        <v/>
      </c>
    </row>
    <row r="146" spans="1:22" x14ac:dyDescent="0.25">
      <c r="A146" s="25" t="s">
        <v>970</v>
      </c>
      <c r="B146" s="2" t="s">
        <v>8</v>
      </c>
      <c r="C146" s="2" t="s">
        <v>89</v>
      </c>
      <c r="D146" s="2" t="s">
        <v>110</v>
      </c>
      <c r="E146" s="2" t="s">
        <v>954</v>
      </c>
      <c r="J146"/>
      <c r="K146"/>
      <c r="L14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</v>
      </c>
      <c r="N146" s="13" t="str">
        <f>VLOOKUP(Tabla3[[#This Row],[Tipo]],TIPO[#All],2,0)</f>
        <v>ET</v>
      </c>
      <c r="O146" s="13" t="str">
        <f>VLOOKUP(Tabla3[[#This Row],[Lugar]],LUGAR[#All],2,0)</f>
        <v>VMN</v>
      </c>
      <c r="P146" s="13" t="str">
        <f>Tabla3[[#This Row],[SIGLAS]]</f>
        <v>LATVMS</v>
      </c>
      <c r="Q146" s="13" t="str">
        <f>_xlfn.IFNA(VLOOKUP(Tabla3[[#This Row],[Nivel de tension]],NIVEL[#All],2,0),"")</f>
        <v/>
      </c>
      <c r="R146" s="13" t="str">
        <f>_xlfn.IFNA(VLOOKUP(Tabla3[[#This Row],[DISPOSITIVO]],DISPOSITIVO[],2,0),"")</f>
        <v/>
      </c>
      <c r="S146" s="13" t="str">
        <f>_xlfn.IFNA(VLOOKUP(Tabla3[[#This Row],[PROTECCION SECUNDARIA]],PROTECCION_SECUNDARIA[],2,0),"")</f>
        <v/>
      </c>
      <c r="T146" s="13" t="str">
        <f>_xlfn.IFNA(VLOOKUP(Tabla3[[#This Row],[Que]],QUE[#All],2,0),"")</f>
        <v/>
      </c>
      <c r="U146" s="13" t="str">
        <f>_xlfn.IFNA(VLOOKUP(Tabla3[[#This Row],[Señal]],SEÑAL[#All],2,0),"")</f>
        <v/>
      </c>
      <c r="V146" s="13" t="str">
        <f>_xlfn.IFNA(VLOOKUP(Tabla3[[#This Row],[NUMERO]],SEÑAL[#All],2,0),"")</f>
        <v/>
      </c>
    </row>
    <row r="147" spans="1:22" x14ac:dyDescent="0.25">
      <c r="A147" s="25" t="s">
        <v>971</v>
      </c>
      <c r="B147" s="2" t="s">
        <v>8</v>
      </c>
      <c r="C147" s="2" t="s">
        <v>89</v>
      </c>
      <c r="D147" s="2" t="s">
        <v>110</v>
      </c>
      <c r="E147" s="2" t="s">
        <v>954</v>
      </c>
      <c r="G147" s="2" t="s">
        <v>1416</v>
      </c>
      <c r="H147" s="2" t="s">
        <v>1386</v>
      </c>
      <c r="I147" s="2" t="s">
        <v>434</v>
      </c>
      <c r="J147"/>
      <c r="K147"/>
      <c r="L14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ETVMN.LATVMS.21-51_DI</v>
      </c>
      <c r="N147" s="13" t="str">
        <f>VLOOKUP(Tabla3[[#This Row],[Tipo]],TIPO[#All],2,0)</f>
        <v>ET</v>
      </c>
      <c r="O147" s="13" t="str">
        <f>VLOOKUP(Tabla3[[#This Row],[Lugar]],LUGAR[#All],2,0)</f>
        <v>VMN</v>
      </c>
      <c r="P147" s="13" t="str">
        <f>Tabla3[[#This Row],[SIGLAS]]</f>
        <v>LATVMS</v>
      </c>
      <c r="Q147" s="13" t="str">
        <f>_xlfn.IFNA(VLOOKUP(Tabla3[[#This Row],[Nivel de tension]],NIVEL[#All],2,0),"")</f>
        <v/>
      </c>
      <c r="R147" s="13" t="str">
        <f>_xlfn.IFNA(VLOOKUP(Tabla3[[#This Row],[DISPOSITIVO]],DISPOSITIVO[],2,0),"")</f>
        <v>21-</v>
      </c>
      <c r="S147" s="13" t="str">
        <f>_xlfn.IFNA(VLOOKUP(Tabla3[[#This Row],[PROTECCION SECUNDARIA]],PROTECCION_SECUNDARIA[],2,0),"")</f>
        <v>51_</v>
      </c>
      <c r="T147" s="13" t="str">
        <f>_xlfn.IFNA(VLOOKUP(Tabla3[[#This Row],[Que]],QUE[#All],2,0),"")</f>
        <v>DI</v>
      </c>
      <c r="U147" s="13" t="str">
        <f>_xlfn.IFNA(VLOOKUP(Tabla3[[#This Row],[Señal]],SEÑAL[#All],2,0),"")</f>
        <v/>
      </c>
      <c r="V147" s="13" t="str">
        <f>_xlfn.IFNA(VLOOKUP(Tabla3[[#This Row],[NUMERO]],SEÑAL[#All],2,0),"")</f>
        <v/>
      </c>
    </row>
    <row r="148" spans="1:22" x14ac:dyDescent="0.25">
      <c r="A148" s="25" t="s">
        <v>926</v>
      </c>
      <c r="B148" s="2" t="s">
        <v>8</v>
      </c>
      <c r="C148" s="2" t="s">
        <v>89</v>
      </c>
      <c r="D148" s="2" t="s">
        <v>110</v>
      </c>
      <c r="E148" s="2" t="s">
        <v>954</v>
      </c>
      <c r="G148" s="2" t="s">
        <v>318</v>
      </c>
      <c r="I148" s="2" t="s">
        <v>384</v>
      </c>
      <c r="J148" t="s">
        <v>439</v>
      </c>
      <c r="K148"/>
      <c r="L14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ETVMN.LATVMS.21_52_FALLA</v>
      </c>
      <c r="N148" s="13" t="str">
        <f>VLOOKUP(Tabla3[[#This Row],[Tipo]],TIPO[#All],2,0)</f>
        <v>ET</v>
      </c>
      <c r="O148" s="13" t="str">
        <f>VLOOKUP(Tabla3[[#This Row],[Lugar]],LUGAR[#All],2,0)</f>
        <v>VMN</v>
      </c>
      <c r="P148" s="13" t="str">
        <f>Tabla3[[#This Row],[SIGLAS]]</f>
        <v>LATVMS</v>
      </c>
      <c r="Q148" s="13" t="str">
        <f>_xlfn.IFNA(VLOOKUP(Tabla3[[#This Row],[Nivel de tension]],NIVEL[#All],2,0),"")</f>
        <v/>
      </c>
      <c r="R148" s="13" t="str">
        <f>_xlfn.IFNA(VLOOKUP(Tabla3[[#This Row],[DISPOSITIVO]],DISPOSITIVO[],2,0),"")</f>
        <v>21_</v>
      </c>
      <c r="S148" s="13" t="str">
        <f>_xlfn.IFNA(VLOOKUP(Tabla3[[#This Row],[PROTECCION SECUNDARIA]],PROTECCION_SECUNDARIA[],2,0),"")</f>
        <v/>
      </c>
      <c r="T148" s="13" t="str">
        <f>_xlfn.IFNA(VLOOKUP(Tabla3[[#This Row],[Que]],QUE[#All],2,0),"")</f>
        <v>52</v>
      </c>
      <c r="U148" s="13" t="str">
        <f>_xlfn.IFNA(VLOOKUP(Tabla3[[#This Row],[Señal]],SEÑAL[#All],2,0),"")</f>
        <v>_FALLA</v>
      </c>
      <c r="V148" s="13" t="str">
        <f>_xlfn.IFNA(VLOOKUP(Tabla3[[#This Row],[NUMERO]],SEÑAL[#All],2,0),"")</f>
        <v/>
      </c>
    </row>
    <row r="149" spans="1:22" x14ac:dyDescent="0.25">
      <c r="A149" s="25" t="s">
        <v>927</v>
      </c>
      <c r="B149" s="2" t="s">
        <v>8</v>
      </c>
      <c r="C149" s="2" t="s">
        <v>89</v>
      </c>
      <c r="D149" s="2" t="s">
        <v>110</v>
      </c>
      <c r="E149" s="2" t="s">
        <v>954</v>
      </c>
      <c r="G149" s="2" t="s">
        <v>318</v>
      </c>
      <c r="I149" s="2" t="s">
        <v>477</v>
      </c>
      <c r="J149"/>
      <c r="K149"/>
      <c r="L14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ETVMN.LATVMS.21_RELE</v>
      </c>
      <c r="N149" s="13" t="str">
        <f>VLOOKUP(Tabla3[[#This Row],[Tipo]],TIPO[#All],2,0)</f>
        <v>ET</v>
      </c>
      <c r="O149" s="13" t="str">
        <f>VLOOKUP(Tabla3[[#This Row],[Lugar]],LUGAR[#All],2,0)</f>
        <v>VMN</v>
      </c>
      <c r="P149" s="13" t="str">
        <f>Tabla3[[#This Row],[SIGLAS]]</f>
        <v>LATVMS</v>
      </c>
      <c r="Q149" s="13" t="str">
        <f>_xlfn.IFNA(VLOOKUP(Tabla3[[#This Row],[Nivel de tension]],NIVEL[#All],2,0),"")</f>
        <v/>
      </c>
      <c r="R149" s="13" t="str">
        <f>_xlfn.IFNA(VLOOKUP(Tabla3[[#This Row],[DISPOSITIVO]],DISPOSITIVO[],2,0),"")</f>
        <v>21_</v>
      </c>
      <c r="S149" s="13" t="str">
        <f>_xlfn.IFNA(VLOOKUP(Tabla3[[#This Row],[PROTECCION SECUNDARIA]],PROTECCION_SECUNDARIA[],2,0),"")</f>
        <v/>
      </c>
      <c r="T149" s="13" t="str">
        <f>_xlfn.IFNA(VLOOKUP(Tabla3[[#This Row],[Que]],QUE[#All],2,0),"")</f>
        <v>RELE</v>
      </c>
      <c r="U149" s="13" t="str">
        <f>_xlfn.IFNA(VLOOKUP(Tabla3[[#This Row],[Señal]],SEÑAL[#All],2,0),"")</f>
        <v/>
      </c>
      <c r="V149" s="13" t="str">
        <f>_xlfn.IFNA(VLOOKUP(Tabla3[[#This Row],[NUMERO]],SEÑAL[#All],2,0),"")</f>
        <v/>
      </c>
    </row>
    <row r="150" spans="1:22" x14ac:dyDescent="0.25">
      <c r="A150" s="25" t="s">
        <v>928</v>
      </c>
      <c r="B150" s="2" t="s">
        <v>8</v>
      </c>
      <c r="C150" s="2" t="s">
        <v>89</v>
      </c>
      <c r="D150" s="2" t="s">
        <v>110</v>
      </c>
      <c r="E150" s="2" t="s">
        <v>954</v>
      </c>
      <c r="G150" s="2" t="s">
        <v>318</v>
      </c>
      <c r="I150" s="2" t="s">
        <v>403</v>
      </c>
      <c r="J150" t="s">
        <v>111</v>
      </c>
      <c r="K150"/>
      <c r="L15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ETVMN.LATVMS.21_ARGRAL</v>
      </c>
      <c r="N150" s="13" t="str">
        <f>VLOOKUP(Tabla3[[#This Row],[Tipo]],TIPO[#All],2,0)</f>
        <v>ET</v>
      </c>
      <c r="O150" s="13" t="str">
        <f>VLOOKUP(Tabla3[[#This Row],[Lugar]],LUGAR[#All],2,0)</f>
        <v>VMN</v>
      </c>
      <c r="P150" s="13" t="str">
        <f>Tabla3[[#This Row],[SIGLAS]]</f>
        <v>LATVMS</v>
      </c>
      <c r="Q150" s="13" t="str">
        <f>_xlfn.IFNA(VLOOKUP(Tabla3[[#This Row],[Nivel de tension]],NIVEL[#All],2,0),"")</f>
        <v/>
      </c>
      <c r="R150" s="13" t="str">
        <f>_xlfn.IFNA(VLOOKUP(Tabla3[[#This Row],[DISPOSITIVO]],DISPOSITIVO[],2,0),"")</f>
        <v>21_</v>
      </c>
      <c r="S150" s="13" t="str">
        <f>_xlfn.IFNA(VLOOKUP(Tabla3[[#This Row],[PROTECCION SECUNDARIA]],PROTECCION_SECUNDARIA[],2,0),"")</f>
        <v/>
      </c>
      <c r="T150" s="13" t="str">
        <f>_xlfn.IFNA(VLOOKUP(Tabla3[[#This Row],[Que]],QUE[#All],2,0),"")</f>
        <v>AR</v>
      </c>
      <c r="U150" s="13" t="str">
        <f>_xlfn.IFNA(VLOOKUP(Tabla3[[#This Row],[Señal]],SEÑAL[#All],2,0),"")</f>
        <v>GRAL</v>
      </c>
      <c r="V150" s="13" t="str">
        <f>_xlfn.IFNA(VLOOKUP(Tabla3[[#This Row],[NUMERO]],SEÑAL[#All],2,0),"")</f>
        <v/>
      </c>
    </row>
    <row r="151" spans="1:22" x14ac:dyDescent="0.25">
      <c r="A151" s="25" t="s">
        <v>929</v>
      </c>
      <c r="B151" s="2" t="s">
        <v>8</v>
      </c>
      <c r="C151" s="2" t="s">
        <v>89</v>
      </c>
      <c r="D151" s="2" t="s">
        <v>110</v>
      </c>
      <c r="E151" s="2" t="s">
        <v>954</v>
      </c>
      <c r="G151" s="2" t="s">
        <v>318</v>
      </c>
      <c r="I151" s="2" t="s">
        <v>434</v>
      </c>
      <c r="J151" t="s">
        <v>111</v>
      </c>
      <c r="K151"/>
      <c r="L15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ETVMN.LATVMS.21_DIGRAL</v>
      </c>
      <c r="N151" s="13" t="str">
        <f>VLOOKUP(Tabla3[[#This Row],[Tipo]],TIPO[#All],2,0)</f>
        <v>ET</v>
      </c>
      <c r="O151" s="13" t="str">
        <f>VLOOKUP(Tabla3[[#This Row],[Lugar]],LUGAR[#All],2,0)</f>
        <v>VMN</v>
      </c>
      <c r="P151" s="13" t="str">
        <f>Tabla3[[#This Row],[SIGLAS]]</f>
        <v>LATVMS</v>
      </c>
      <c r="Q151" s="13" t="str">
        <f>_xlfn.IFNA(VLOOKUP(Tabla3[[#This Row],[Nivel de tension]],NIVEL[#All],2,0),"")</f>
        <v/>
      </c>
      <c r="R151" s="13" t="str">
        <f>_xlfn.IFNA(VLOOKUP(Tabla3[[#This Row],[DISPOSITIVO]],DISPOSITIVO[],2,0),"")</f>
        <v>21_</v>
      </c>
      <c r="S151" s="13" t="str">
        <f>_xlfn.IFNA(VLOOKUP(Tabla3[[#This Row],[PROTECCION SECUNDARIA]],PROTECCION_SECUNDARIA[],2,0),"")</f>
        <v/>
      </c>
      <c r="T151" s="13" t="str">
        <f>_xlfn.IFNA(VLOOKUP(Tabla3[[#This Row],[Que]],QUE[#All],2,0),"")</f>
        <v>DI</v>
      </c>
      <c r="U151" s="13" t="str">
        <f>_xlfn.IFNA(VLOOKUP(Tabla3[[#This Row],[Señal]],SEÑAL[#All],2,0),"")</f>
        <v>GRAL</v>
      </c>
      <c r="V151" s="13" t="str">
        <f>_xlfn.IFNA(VLOOKUP(Tabla3[[#This Row],[NUMERO]],SEÑAL[#All],2,0),"")</f>
        <v/>
      </c>
    </row>
    <row r="152" spans="1:22" x14ac:dyDescent="0.25">
      <c r="A152" s="25" t="s">
        <v>930</v>
      </c>
      <c r="B152" s="2" t="s">
        <v>8</v>
      </c>
      <c r="C152" s="2" t="s">
        <v>89</v>
      </c>
      <c r="D152" s="2" t="s">
        <v>110</v>
      </c>
      <c r="E152" s="2" t="s">
        <v>954</v>
      </c>
      <c r="G152" s="2" t="s">
        <v>318</v>
      </c>
      <c r="I152" s="2" t="s">
        <v>434</v>
      </c>
      <c r="J152" t="s">
        <v>731</v>
      </c>
      <c r="K152"/>
      <c r="L15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ETVMN.LATVMS.21_DIGRAL_R</v>
      </c>
      <c r="N152" s="13" t="str">
        <f>VLOOKUP(Tabla3[[#This Row],[Tipo]],TIPO[#All],2,0)</f>
        <v>ET</v>
      </c>
      <c r="O152" s="13" t="str">
        <f>VLOOKUP(Tabla3[[#This Row],[Lugar]],LUGAR[#All],2,0)</f>
        <v>VMN</v>
      </c>
      <c r="P152" s="13" t="str">
        <f>Tabla3[[#This Row],[SIGLAS]]</f>
        <v>LATVMS</v>
      </c>
      <c r="Q152" s="13" t="str">
        <f>_xlfn.IFNA(VLOOKUP(Tabla3[[#This Row],[Nivel de tension]],NIVEL[#All],2,0),"")</f>
        <v/>
      </c>
      <c r="R152" s="13" t="str">
        <f>_xlfn.IFNA(VLOOKUP(Tabla3[[#This Row],[DISPOSITIVO]],DISPOSITIVO[],2,0),"")</f>
        <v>21_</v>
      </c>
      <c r="S152" s="13" t="str">
        <f>_xlfn.IFNA(VLOOKUP(Tabla3[[#This Row],[PROTECCION SECUNDARIA]],PROTECCION_SECUNDARIA[],2,0),"")</f>
        <v/>
      </c>
      <c r="T152" s="13" t="str">
        <f>_xlfn.IFNA(VLOOKUP(Tabla3[[#This Row],[Que]],QUE[#All],2,0),"")</f>
        <v>DI</v>
      </c>
      <c r="U152" s="13" t="str">
        <f>_xlfn.IFNA(VLOOKUP(Tabla3[[#This Row],[Señal]],SEÑAL[#All],2,0),"")</f>
        <v>GRAL_R</v>
      </c>
      <c r="V152" s="13" t="str">
        <f>_xlfn.IFNA(VLOOKUP(Tabla3[[#This Row],[NUMERO]],SEÑAL[#All],2,0),"")</f>
        <v/>
      </c>
    </row>
    <row r="153" spans="1:22" x14ac:dyDescent="0.25">
      <c r="A153" s="25" t="s">
        <v>931</v>
      </c>
      <c r="B153" s="2" t="s">
        <v>8</v>
      </c>
      <c r="C153" s="2" t="s">
        <v>89</v>
      </c>
      <c r="D153" s="2" t="s">
        <v>110</v>
      </c>
      <c r="E153" s="2" t="s">
        <v>954</v>
      </c>
      <c r="G153" s="2" t="s">
        <v>318</v>
      </c>
      <c r="I153" s="2" t="s">
        <v>434</v>
      </c>
      <c r="J153" t="s">
        <v>733</v>
      </c>
      <c r="K153"/>
      <c r="L15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ETVMN.LATVMS.21_DIGRAL_S</v>
      </c>
      <c r="N153" s="13" t="str">
        <f>VLOOKUP(Tabla3[[#This Row],[Tipo]],TIPO[#All],2,0)</f>
        <v>ET</v>
      </c>
      <c r="O153" s="13" t="str">
        <f>VLOOKUP(Tabla3[[#This Row],[Lugar]],LUGAR[#All],2,0)</f>
        <v>VMN</v>
      </c>
      <c r="P153" s="13" t="str">
        <f>Tabla3[[#This Row],[SIGLAS]]</f>
        <v>LATVMS</v>
      </c>
      <c r="Q153" s="13" t="str">
        <f>_xlfn.IFNA(VLOOKUP(Tabla3[[#This Row],[Nivel de tension]],NIVEL[#All],2,0),"")</f>
        <v/>
      </c>
      <c r="R153" s="13" t="str">
        <f>_xlfn.IFNA(VLOOKUP(Tabla3[[#This Row],[DISPOSITIVO]],DISPOSITIVO[],2,0),"")</f>
        <v>21_</v>
      </c>
      <c r="S153" s="13" t="str">
        <f>_xlfn.IFNA(VLOOKUP(Tabla3[[#This Row],[PROTECCION SECUNDARIA]],PROTECCION_SECUNDARIA[],2,0),"")</f>
        <v/>
      </c>
      <c r="T153" s="13" t="str">
        <f>_xlfn.IFNA(VLOOKUP(Tabla3[[#This Row],[Que]],QUE[#All],2,0),"")</f>
        <v>DI</v>
      </c>
      <c r="U153" s="13" t="str">
        <f>_xlfn.IFNA(VLOOKUP(Tabla3[[#This Row],[Señal]],SEÑAL[#All],2,0),"")</f>
        <v>GRAL_S</v>
      </c>
      <c r="V153" s="13" t="str">
        <f>_xlfn.IFNA(VLOOKUP(Tabla3[[#This Row],[NUMERO]],SEÑAL[#All],2,0),"")</f>
        <v/>
      </c>
    </row>
    <row r="154" spans="1:22" x14ac:dyDescent="0.25">
      <c r="A154" s="25" t="s">
        <v>932</v>
      </c>
      <c r="B154" s="2" t="s">
        <v>8</v>
      </c>
      <c r="C154" s="2" t="s">
        <v>89</v>
      </c>
      <c r="D154" s="2" t="s">
        <v>110</v>
      </c>
      <c r="E154" s="2" t="s">
        <v>954</v>
      </c>
      <c r="G154" s="2" t="s">
        <v>318</v>
      </c>
      <c r="I154" s="2" t="s">
        <v>434</v>
      </c>
      <c r="J154" t="s">
        <v>735</v>
      </c>
      <c r="K154"/>
      <c r="L15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ETVMN.LATVMS.21_DIGRAL_T</v>
      </c>
      <c r="N154" s="13" t="str">
        <f>VLOOKUP(Tabla3[[#This Row],[Tipo]],TIPO[#All],2,0)</f>
        <v>ET</v>
      </c>
      <c r="O154" s="13" t="str">
        <f>VLOOKUP(Tabla3[[#This Row],[Lugar]],LUGAR[#All],2,0)</f>
        <v>VMN</v>
      </c>
      <c r="P154" s="13" t="str">
        <f>Tabla3[[#This Row],[SIGLAS]]</f>
        <v>LATVMS</v>
      </c>
      <c r="Q154" s="13" t="str">
        <f>_xlfn.IFNA(VLOOKUP(Tabla3[[#This Row],[Nivel de tension]],NIVEL[#All],2,0),"")</f>
        <v/>
      </c>
      <c r="R154" s="13" t="str">
        <f>_xlfn.IFNA(VLOOKUP(Tabla3[[#This Row],[DISPOSITIVO]],DISPOSITIVO[],2,0),"")</f>
        <v>21_</v>
      </c>
      <c r="S154" s="13" t="str">
        <f>_xlfn.IFNA(VLOOKUP(Tabla3[[#This Row],[PROTECCION SECUNDARIA]],PROTECCION_SECUNDARIA[],2,0),"")</f>
        <v/>
      </c>
      <c r="T154" s="13" t="str">
        <f>_xlfn.IFNA(VLOOKUP(Tabla3[[#This Row],[Que]],QUE[#All],2,0),"")</f>
        <v>DI</v>
      </c>
      <c r="U154" s="13" t="str">
        <f>_xlfn.IFNA(VLOOKUP(Tabla3[[#This Row],[Señal]],SEÑAL[#All],2,0),"")</f>
        <v>GRAL_T</v>
      </c>
      <c r="V154" s="13" t="str">
        <f>_xlfn.IFNA(VLOOKUP(Tabla3[[#This Row],[NUMERO]],SEÑAL[#All],2,0),"")</f>
        <v/>
      </c>
    </row>
    <row r="155" spans="1:22" x14ac:dyDescent="0.25">
      <c r="A155" s="25" t="s">
        <v>933</v>
      </c>
      <c r="B155" s="2" t="s">
        <v>8</v>
      </c>
      <c r="C155" s="2" t="s">
        <v>89</v>
      </c>
      <c r="D155" s="2" t="s">
        <v>110</v>
      </c>
      <c r="E155" s="2" t="s">
        <v>954</v>
      </c>
      <c r="G155" s="2" t="s">
        <v>318</v>
      </c>
      <c r="I155" s="2" t="s">
        <v>848</v>
      </c>
      <c r="J155"/>
      <c r="K155"/>
      <c r="L15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ETVMN.LATVMS.21_LL</v>
      </c>
      <c r="N155" s="13" t="str">
        <f>VLOOKUP(Tabla3[[#This Row],[Tipo]],TIPO[#All],2,0)</f>
        <v>ET</v>
      </c>
      <c r="O155" s="13" t="str">
        <f>VLOOKUP(Tabla3[[#This Row],[Lugar]],LUGAR[#All],2,0)</f>
        <v>VMN</v>
      </c>
      <c r="P155" s="13" t="str">
        <f>Tabla3[[#This Row],[SIGLAS]]</f>
        <v>LATVMS</v>
      </c>
      <c r="Q155" s="13" t="str">
        <f>_xlfn.IFNA(VLOOKUP(Tabla3[[#This Row],[Nivel de tension]],NIVEL[#All],2,0),"")</f>
        <v/>
      </c>
      <c r="R155" s="13" t="str">
        <f>_xlfn.IFNA(VLOOKUP(Tabla3[[#This Row],[DISPOSITIVO]],DISPOSITIVO[],2,0),"")</f>
        <v>21_</v>
      </c>
      <c r="S155" s="13" t="str">
        <f>_xlfn.IFNA(VLOOKUP(Tabla3[[#This Row],[PROTECCION SECUNDARIA]],PROTECCION_SECUNDARIA[],2,0),"")</f>
        <v/>
      </c>
      <c r="T155" s="13" t="str">
        <f>_xlfn.IFNA(VLOOKUP(Tabla3[[#This Row],[Que]],QUE[#All],2,0),"")</f>
        <v>LL</v>
      </c>
      <c r="U155" s="13" t="str">
        <f>_xlfn.IFNA(VLOOKUP(Tabla3[[#This Row],[Señal]],SEÑAL[#All],2,0),"")</f>
        <v/>
      </c>
      <c r="V155" s="13" t="str">
        <f>_xlfn.IFNA(VLOOKUP(Tabla3[[#This Row],[NUMERO]],SEÑAL[#All],2,0),"")</f>
        <v/>
      </c>
    </row>
    <row r="156" spans="1:22" x14ac:dyDescent="0.25">
      <c r="A156" s="25" t="s">
        <v>934</v>
      </c>
      <c r="B156" s="2" t="s">
        <v>8</v>
      </c>
      <c r="C156" s="2" t="s">
        <v>89</v>
      </c>
      <c r="D156" s="2" t="s">
        <v>110</v>
      </c>
      <c r="E156" s="2" t="s">
        <v>954</v>
      </c>
      <c r="G156" s="2" t="s">
        <v>318</v>
      </c>
      <c r="I156" s="2" t="s">
        <v>486</v>
      </c>
      <c r="J156" t="s">
        <v>630</v>
      </c>
      <c r="K156"/>
      <c r="L15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ETVMN.LATVMS.21_TELEP_RX</v>
      </c>
      <c r="N156" s="13" t="str">
        <f>VLOOKUP(Tabla3[[#This Row],[Tipo]],TIPO[#All],2,0)</f>
        <v>ET</v>
      </c>
      <c r="O156" s="13" t="str">
        <f>VLOOKUP(Tabla3[[#This Row],[Lugar]],LUGAR[#All],2,0)</f>
        <v>VMN</v>
      </c>
      <c r="P156" s="13" t="str">
        <f>Tabla3[[#This Row],[SIGLAS]]</f>
        <v>LATVMS</v>
      </c>
      <c r="Q156" s="13" t="str">
        <f>_xlfn.IFNA(VLOOKUP(Tabla3[[#This Row],[Nivel de tension]],NIVEL[#All],2,0),"")</f>
        <v/>
      </c>
      <c r="R156" s="13" t="str">
        <f>_xlfn.IFNA(VLOOKUP(Tabla3[[#This Row],[DISPOSITIVO]],DISPOSITIVO[],2,0),"")</f>
        <v>21_</v>
      </c>
      <c r="S156" s="13" t="str">
        <f>_xlfn.IFNA(VLOOKUP(Tabla3[[#This Row],[PROTECCION SECUNDARIA]],PROTECCION_SECUNDARIA[],2,0),"")</f>
        <v/>
      </c>
      <c r="T156" s="13" t="str">
        <f>_xlfn.IFNA(VLOOKUP(Tabla3[[#This Row],[Que]],QUE[#All],2,0),"")</f>
        <v>TELEP</v>
      </c>
      <c r="U156" s="13" t="str">
        <f>_xlfn.IFNA(VLOOKUP(Tabla3[[#This Row],[Señal]],SEÑAL[#All],2,0),"")</f>
        <v>_RX</v>
      </c>
      <c r="V156" s="13" t="str">
        <f>_xlfn.IFNA(VLOOKUP(Tabla3[[#This Row],[NUMERO]],SEÑAL[#All],2,0),"")</f>
        <v/>
      </c>
    </row>
    <row r="157" spans="1:22" x14ac:dyDescent="0.25">
      <c r="A157" s="25" t="s">
        <v>935</v>
      </c>
      <c r="B157" s="2" t="s">
        <v>8</v>
      </c>
      <c r="C157" s="2" t="s">
        <v>89</v>
      </c>
      <c r="D157" s="2" t="s">
        <v>110</v>
      </c>
      <c r="E157" s="2" t="s">
        <v>954</v>
      </c>
      <c r="G157" s="2" t="s">
        <v>318</v>
      </c>
      <c r="I157" s="2" t="s">
        <v>486</v>
      </c>
      <c r="J157" t="s">
        <v>658</v>
      </c>
      <c r="K157"/>
      <c r="L15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ETVMN.LATVMS.21_TELEP_TX</v>
      </c>
      <c r="N157" s="13" t="str">
        <f>VLOOKUP(Tabla3[[#This Row],[Tipo]],TIPO[#All],2,0)</f>
        <v>ET</v>
      </c>
      <c r="O157" s="13" t="str">
        <f>VLOOKUP(Tabla3[[#This Row],[Lugar]],LUGAR[#All],2,0)</f>
        <v>VMN</v>
      </c>
      <c r="P157" s="13" t="str">
        <f>Tabla3[[#This Row],[SIGLAS]]</f>
        <v>LATVMS</v>
      </c>
      <c r="Q157" s="13" t="str">
        <f>_xlfn.IFNA(VLOOKUP(Tabla3[[#This Row],[Nivel de tension]],NIVEL[#All],2,0),"")</f>
        <v/>
      </c>
      <c r="R157" s="13" t="str">
        <f>_xlfn.IFNA(VLOOKUP(Tabla3[[#This Row],[DISPOSITIVO]],DISPOSITIVO[],2,0),"")</f>
        <v>21_</v>
      </c>
      <c r="S157" s="13" t="str">
        <f>_xlfn.IFNA(VLOOKUP(Tabla3[[#This Row],[PROTECCION SECUNDARIA]],PROTECCION_SECUNDARIA[],2,0),"")</f>
        <v/>
      </c>
      <c r="T157" s="13" t="str">
        <f>_xlfn.IFNA(VLOOKUP(Tabla3[[#This Row],[Que]],QUE[#All],2,0),"")</f>
        <v>TELEP</v>
      </c>
      <c r="U157" s="13" t="str">
        <f>_xlfn.IFNA(VLOOKUP(Tabla3[[#This Row],[Señal]],SEÑAL[#All],2,0),"")</f>
        <v>_TX</v>
      </c>
      <c r="V157" s="13" t="str">
        <f>_xlfn.IFNA(VLOOKUP(Tabla3[[#This Row],[NUMERO]],SEÑAL[#All],2,0),"")</f>
        <v/>
      </c>
    </row>
    <row r="158" spans="1:22" x14ac:dyDescent="0.25">
      <c r="A158" s="25" t="s">
        <v>936</v>
      </c>
      <c r="B158" s="2" t="s">
        <v>8</v>
      </c>
      <c r="C158" s="2" t="s">
        <v>89</v>
      </c>
      <c r="D158" s="2" t="s">
        <v>110</v>
      </c>
      <c r="E158" s="2" t="s">
        <v>954</v>
      </c>
      <c r="G158" s="2" t="s">
        <v>318</v>
      </c>
      <c r="I158" s="2" t="s">
        <v>2</v>
      </c>
      <c r="J158" t="s">
        <v>438</v>
      </c>
      <c r="K158"/>
      <c r="L15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ETVMN.LATVMS.21_79_EST</v>
      </c>
      <c r="N158" s="13" t="str">
        <f>VLOOKUP(Tabla3[[#This Row],[Tipo]],TIPO[#All],2,0)</f>
        <v>ET</v>
      </c>
      <c r="O158" s="13" t="str">
        <f>VLOOKUP(Tabla3[[#This Row],[Lugar]],LUGAR[#All],2,0)</f>
        <v>VMN</v>
      </c>
      <c r="P158" s="13" t="str">
        <f>Tabla3[[#This Row],[SIGLAS]]</f>
        <v>LATVMS</v>
      </c>
      <c r="Q158" s="13" t="str">
        <f>_xlfn.IFNA(VLOOKUP(Tabla3[[#This Row],[Nivel de tension]],NIVEL[#All],2,0),"")</f>
        <v/>
      </c>
      <c r="R158" s="13" t="str">
        <f>_xlfn.IFNA(VLOOKUP(Tabla3[[#This Row],[DISPOSITIVO]],DISPOSITIVO[],2,0),"")</f>
        <v>21_</v>
      </c>
      <c r="S158" s="13" t="str">
        <f>_xlfn.IFNA(VLOOKUP(Tabla3[[#This Row],[PROTECCION SECUNDARIA]],PROTECCION_SECUNDARIA[],2,0),"")</f>
        <v/>
      </c>
      <c r="T158" s="13" t="str">
        <f>_xlfn.IFNA(VLOOKUP(Tabla3[[#This Row],[Que]],QUE[#All],2,0),"")</f>
        <v>79</v>
      </c>
      <c r="U158" s="13" t="str">
        <f>_xlfn.IFNA(VLOOKUP(Tabla3[[#This Row],[Señal]],SEÑAL[#All],2,0),"")</f>
        <v>_EST</v>
      </c>
      <c r="V158" s="13" t="str">
        <f>_xlfn.IFNA(VLOOKUP(Tabla3[[#This Row],[NUMERO]],SEÑAL[#All],2,0),"")</f>
        <v/>
      </c>
    </row>
    <row r="159" spans="1:22" x14ac:dyDescent="0.25">
      <c r="A159" s="25" t="s">
        <v>937</v>
      </c>
      <c r="B159" s="2" t="s">
        <v>8</v>
      </c>
      <c r="C159" s="2" t="s">
        <v>89</v>
      </c>
      <c r="D159" s="2" t="s">
        <v>110</v>
      </c>
      <c r="E159" s="2" t="s">
        <v>954</v>
      </c>
      <c r="G159" s="2" t="s">
        <v>318</v>
      </c>
      <c r="I159" s="2" t="s">
        <v>395</v>
      </c>
      <c r="J159" t="s">
        <v>611</v>
      </c>
      <c r="K159"/>
      <c r="L15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ETVMN.LATVMS.21_A_R</v>
      </c>
      <c r="N159" s="13" t="str">
        <f>VLOOKUP(Tabla3[[#This Row],[Tipo]],TIPO[#All],2,0)</f>
        <v>ET</v>
      </c>
      <c r="O159" s="13" t="str">
        <f>VLOOKUP(Tabla3[[#This Row],[Lugar]],LUGAR[#All],2,0)</f>
        <v>VMN</v>
      </c>
      <c r="P159" s="13" t="str">
        <f>Tabla3[[#This Row],[SIGLAS]]</f>
        <v>LATVMS</v>
      </c>
      <c r="Q159" s="13" t="str">
        <f>_xlfn.IFNA(VLOOKUP(Tabla3[[#This Row],[Nivel de tension]],NIVEL[#All],2,0),"")</f>
        <v/>
      </c>
      <c r="R159" s="13" t="str">
        <f>_xlfn.IFNA(VLOOKUP(Tabla3[[#This Row],[DISPOSITIVO]],DISPOSITIVO[],2,0),"")</f>
        <v>21_</v>
      </c>
      <c r="S159" s="13" t="str">
        <f>_xlfn.IFNA(VLOOKUP(Tabla3[[#This Row],[PROTECCION SECUNDARIA]],PROTECCION_SECUNDARIA[],2,0),"")</f>
        <v/>
      </c>
      <c r="T159" s="13" t="str">
        <f>_xlfn.IFNA(VLOOKUP(Tabla3[[#This Row],[Que]],QUE[#All],2,0),"")</f>
        <v>A</v>
      </c>
      <c r="U159" s="13" t="str">
        <f>_xlfn.IFNA(VLOOKUP(Tabla3[[#This Row],[Señal]],SEÑAL[#All],2,0),"")</f>
        <v>_R</v>
      </c>
      <c r="V159" s="13" t="str">
        <f>_xlfn.IFNA(VLOOKUP(Tabla3[[#This Row],[NUMERO]],SEÑAL[#All],2,0),"")</f>
        <v/>
      </c>
    </row>
    <row r="160" spans="1:22" x14ac:dyDescent="0.25">
      <c r="A160" s="25" t="s">
        <v>938</v>
      </c>
      <c r="B160" s="2" t="s">
        <v>8</v>
      </c>
      <c r="C160" s="2" t="s">
        <v>89</v>
      </c>
      <c r="D160" s="2" t="s">
        <v>110</v>
      </c>
      <c r="E160" s="2" t="s">
        <v>954</v>
      </c>
      <c r="G160" s="2" t="s">
        <v>318</v>
      </c>
      <c r="I160" s="2" t="s">
        <v>395</v>
      </c>
      <c r="J160" t="s">
        <v>634</v>
      </c>
      <c r="K160"/>
      <c r="L16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ETVMN.LATVMS.21_A_S</v>
      </c>
      <c r="N160" s="13" t="str">
        <f>VLOOKUP(Tabla3[[#This Row],[Tipo]],TIPO[#All],2,0)</f>
        <v>ET</v>
      </c>
      <c r="O160" s="13" t="str">
        <f>VLOOKUP(Tabla3[[#This Row],[Lugar]],LUGAR[#All],2,0)</f>
        <v>VMN</v>
      </c>
      <c r="P160" s="13" t="str">
        <f>Tabla3[[#This Row],[SIGLAS]]</f>
        <v>LATVMS</v>
      </c>
      <c r="Q160" s="13" t="str">
        <f>_xlfn.IFNA(VLOOKUP(Tabla3[[#This Row],[Nivel de tension]],NIVEL[#All],2,0),"")</f>
        <v/>
      </c>
      <c r="R160" s="13" t="str">
        <f>_xlfn.IFNA(VLOOKUP(Tabla3[[#This Row],[DISPOSITIVO]],DISPOSITIVO[],2,0),"")</f>
        <v>21_</v>
      </c>
      <c r="S160" s="13" t="str">
        <f>_xlfn.IFNA(VLOOKUP(Tabla3[[#This Row],[PROTECCION SECUNDARIA]],PROTECCION_SECUNDARIA[],2,0),"")</f>
        <v/>
      </c>
      <c r="T160" s="13" t="str">
        <f>_xlfn.IFNA(VLOOKUP(Tabla3[[#This Row],[Que]],QUE[#All],2,0),"")</f>
        <v>A</v>
      </c>
      <c r="U160" s="13" t="str">
        <f>_xlfn.IFNA(VLOOKUP(Tabla3[[#This Row],[Señal]],SEÑAL[#All],2,0),"")</f>
        <v>_S</v>
      </c>
      <c r="V160" s="13" t="str">
        <f>_xlfn.IFNA(VLOOKUP(Tabla3[[#This Row],[NUMERO]],SEÑAL[#All],2,0),"")</f>
        <v/>
      </c>
    </row>
    <row r="161" spans="1:22" x14ac:dyDescent="0.25">
      <c r="A161" s="25" t="s">
        <v>939</v>
      </c>
      <c r="B161" s="2" t="s">
        <v>8</v>
      </c>
      <c r="C161" s="2" t="s">
        <v>89</v>
      </c>
      <c r="D161" s="2" t="s">
        <v>110</v>
      </c>
      <c r="E161" s="2" t="s">
        <v>954</v>
      </c>
      <c r="G161" s="2" t="s">
        <v>318</v>
      </c>
      <c r="I161" s="2" t="s">
        <v>395</v>
      </c>
      <c r="J161" t="s">
        <v>647</v>
      </c>
      <c r="K161"/>
      <c r="L16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ETVMN.LATVMS.21_A_T</v>
      </c>
      <c r="N161" s="13" t="str">
        <f>VLOOKUP(Tabla3[[#This Row],[Tipo]],TIPO[#All],2,0)</f>
        <v>ET</v>
      </c>
      <c r="O161" s="13" t="str">
        <f>VLOOKUP(Tabla3[[#This Row],[Lugar]],LUGAR[#All],2,0)</f>
        <v>VMN</v>
      </c>
      <c r="P161" s="13" t="str">
        <f>Tabla3[[#This Row],[SIGLAS]]</f>
        <v>LATVMS</v>
      </c>
      <c r="Q161" s="13" t="str">
        <f>_xlfn.IFNA(VLOOKUP(Tabla3[[#This Row],[Nivel de tension]],NIVEL[#All],2,0),"")</f>
        <v/>
      </c>
      <c r="R161" s="13" t="str">
        <f>_xlfn.IFNA(VLOOKUP(Tabla3[[#This Row],[DISPOSITIVO]],DISPOSITIVO[],2,0),"")</f>
        <v>21_</v>
      </c>
      <c r="S161" s="13" t="str">
        <f>_xlfn.IFNA(VLOOKUP(Tabla3[[#This Row],[PROTECCION SECUNDARIA]],PROTECCION_SECUNDARIA[],2,0),"")</f>
        <v/>
      </c>
      <c r="T161" s="13" t="str">
        <f>_xlfn.IFNA(VLOOKUP(Tabla3[[#This Row],[Que]],QUE[#All],2,0),"")</f>
        <v>A</v>
      </c>
      <c r="U161" s="13" t="str">
        <f>_xlfn.IFNA(VLOOKUP(Tabla3[[#This Row],[Señal]],SEÑAL[#All],2,0),"")</f>
        <v>_T</v>
      </c>
      <c r="V161" s="13" t="str">
        <f>_xlfn.IFNA(VLOOKUP(Tabla3[[#This Row],[NUMERO]],SEÑAL[#All],2,0),"")</f>
        <v/>
      </c>
    </row>
    <row r="162" spans="1:22" x14ac:dyDescent="0.25">
      <c r="A162" s="25" t="s">
        <v>940</v>
      </c>
      <c r="B162" s="2" t="s">
        <v>8</v>
      </c>
      <c r="C162" s="2" t="s">
        <v>89</v>
      </c>
      <c r="D162" s="2" t="s">
        <v>110</v>
      </c>
      <c r="E162" s="2" t="s">
        <v>954</v>
      </c>
      <c r="G162" s="2" t="s">
        <v>318</v>
      </c>
      <c r="I162" s="2" t="s">
        <v>455</v>
      </c>
      <c r="J162"/>
      <c r="K162"/>
      <c r="L16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</v>
      </c>
      <c r="N162" s="13" t="str">
        <f>VLOOKUP(Tabla3[[#This Row],[Tipo]],TIPO[#All],2,0)</f>
        <v>ET</v>
      </c>
      <c r="O162" s="13" t="str">
        <f>VLOOKUP(Tabla3[[#This Row],[Lugar]],LUGAR[#All],2,0)</f>
        <v>VMN</v>
      </c>
      <c r="P162" s="13" t="str">
        <f>Tabla3[[#This Row],[SIGLAS]]</f>
        <v>LATVMS</v>
      </c>
      <c r="Q162" s="13" t="str">
        <f>_xlfn.IFNA(VLOOKUP(Tabla3[[#This Row],[Nivel de tension]],NIVEL[#All],2,0),"")</f>
        <v/>
      </c>
      <c r="R162" s="13" t="str">
        <f>_xlfn.IFNA(VLOOKUP(Tabla3[[#This Row],[DISPOSITIVO]],DISPOSITIVO[],2,0),"")</f>
        <v>21_</v>
      </c>
      <c r="S162" s="13" t="str">
        <f>_xlfn.IFNA(VLOOKUP(Tabla3[[#This Row],[PROTECCION SECUNDARIA]],PROTECCION_SECUNDARIA[],2,0),"")</f>
        <v/>
      </c>
      <c r="T162" s="13" t="str">
        <f>_xlfn.IFNA(VLOOKUP(Tabla3[[#This Row],[Que]],QUE[#All],2,0),"")</f>
        <v>KV</v>
      </c>
      <c r="U162" s="13" t="str">
        <f>_xlfn.IFNA(VLOOKUP(Tabla3[[#This Row],[Señal]],SEÑAL[#All],2,0),"")</f>
        <v/>
      </c>
      <c r="V162" s="13" t="str">
        <f>_xlfn.IFNA(VLOOKUP(Tabla3[[#This Row],[NUMERO]],SEÑAL[#All],2,0),"")</f>
        <v/>
      </c>
    </row>
    <row r="163" spans="1:22" x14ac:dyDescent="0.25">
      <c r="A163" s="25" t="s">
        <v>941</v>
      </c>
      <c r="B163" s="2" t="s">
        <v>8</v>
      </c>
      <c r="C163" s="2" t="s">
        <v>89</v>
      </c>
      <c r="D163" s="2" t="s">
        <v>110</v>
      </c>
      <c r="E163" s="2" t="s">
        <v>954</v>
      </c>
      <c r="G163" s="2" t="s">
        <v>318</v>
      </c>
      <c r="I163" s="2" t="s">
        <v>462</v>
      </c>
      <c r="J163"/>
      <c r="K163"/>
      <c r="L16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ETVMN.LATVMS.21_KW</v>
      </c>
      <c r="N163" s="13" t="str">
        <f>VLOOKUP(Tabla3[[#This Row],[Tipo]],TIPO[#All],2,0)</f>
        <v>ET</v>
      </c>
      <c r="O163" s="13" t="str">
        <f>VLOOKUP(Tabla3[[#This Row],[Lugar]],LUGAR[#All],2,0)</f>
        <v>VMN</v>
      </c>
      <c r="P163" s="13" t="str">
        <f>Tabla3[[#This Row],[SIGLAS]]</f>
        <v>LATVMS</v>
      </c>
      <c r="Q163" s="13" t="str">
        <f>_xlfn.IFNA(VLOOKUP(Tabla3[[#This Row],[Nivel de tension]],NIVEL[#All],2,0),"")</f>
        <v/>
      </c>
      <c r="R163" s="13" t="str">
        <f>_xlfn.IFNA(VLOOKUP(Tabla3[[#This Row],[DISPOSITIVO]],DISPOSITIVO[],2,0),"")</f>
        <v>21_</v>
      </c>
      <c r="S163" s="13" t="str">
        <f>_xlfn.IFNA(VLOOKUP(Tabla3[[#This Row],[PROTECCION SECUNDARIA]],PROTECCION_SECUNDARIA[],2,0),"")</f>
        <v/>
      </c>
      <c r="T163" s="13" t="str">
        <f>_xlfn.IFNA(VLOOKUP(Tabla3[[#This Row],[Que]],QUE[#All],2,0),"")</f>
        <v>KW</v>
      </c>
      <c r="U163" s="13" t="str">
        <f>_xlfn.IFNA(VLOOKUP(Tabla3[[#This Row],[Señal]],SEÑAL[#All],2,0),"")</f>
        <v/>
      </c>
      <c r="V163" s="13" t="str">
        <f>_xlfn.IFNA(VLOOKUP(Tabla3[[#This Row],[NUMERO]],SEÑAL[#All],2,0),"")</f>
        <v/>
      </c>
    </row>
    <row r="164" spans="1:22" x14ac:dyDescent="0.25">
      <c r="A164" s="25" t="s">
        <v>942</v>
      </c>
      <c r="B164" s="2" t="s">
        <v>8</v>
      </c>
      <c r="C164" s="2" t="s">
        <v>89</v>
      </c>
      <c r="D164" s="2" t="s">
        <v>110</v>
      </c>
      <c r="E164" s="2" t="s">
        <v>954</v>
      </c>
      <c r="G164" s="2" t="s">
        <v>318</v>
      </c>
      <c r="I164" s="2" t="s">
        <v>457</v>
      </c>
      <c r="J164"/>
      <c r="K164"/>
      <c r="L16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ETVMN.LATVMS.21_KVAR</v>
      </c>
      <c r="N164" s="13" t="str">
        <f>VLOOKUP(Tabla3[[#This Row],[Tipo]],TIPO[#All],2,0)</f>
        <v>ET</v>
      </c>
      <c r="O164" s="13" t="str">
        <f>VLOOKUP(Tabla3[[#This Row],[Lugar]],LUGAR[#All],2,0)</f>
        <v>VMN</v>
      </c>
      <c r="P164" s="13" t="str">
        <f>Tabla3[[#This Row],[SIGLAS]]</f>
        <v>LATVMS</v>
      </c>
      <c r="Q164" s="13" t="str">
        <f>_xlfn.IFNA(VLOOKUP(Tabla3[[#This Row],[Nivel de tension]],NIVEL[#All],2,0),"")</f>
        <v/>
      </c>
      <c r="R164" s="13" t="str">
        <f>_xlfn.IFNA(VLOOKUP(Tabla3[[#This Row],[DISPOSITIVO]],DISPOSITIVO[],2,0),"")</f>
        <v>21_</v>
      </c>
      <c r="S164" s="13" t="str">
        <f>_xlfn.IFNA(VLOOKUP(Tabla3[[#This Row],[PROTECCION SECUNDARIA]],PROTECCION_SECUNDARIA[],2,0),"")</f>
        <v/>
      </c>
      <c r="T164" s="13" t="str">
        <f>_xlfn.IFNA(VLOOKUP(Tabla3[[#This Row],[Que]],QUE[#All],2,0),"")</f>
        <v>KVAR</v>
      </c>
      <c r="U164" s="13" t="str">
        <f>_xlfn.IFNA(VLOOKUP(Tabla3[[#This Row],[Señal]],SEÑAL[#All],2,0),"")</f>
        <v/>
      </c>
      <c r="V164" s="13" t="str">
        <f>_xlfn.IFNA(VLOOKUP(Tabla3[[#This Row],[NUMERO]],SEÑAL[#All],2,0),"")</f>
        <v/>
      </c>
    </row>
    <row r="165" spans="1:22" x14ac:dyDescent="0.25">
      <c r="A165" s="25" t="s">
        <v>943</v>
      </c>
      <c r="B165" s="2" t="s">
        <v>8</v>
      </c>
      <c r="C165" s="2" t="s">
        <v>89</v>
      </c>
      <c r="D165" s="2" t="s">
        <v>110</v>
      </c>
      <c r="E165" s="2" t="s">
        <v>954</v>
      </c>
      <c r="G165" s="2" t="s">
        <v>318</v>
      </c>
      <c r="I165" s="2" t="s">
        <v>973</v>
      </c>
      <c r="J165"/>
      <c r="K165"/>
      <c r="L16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ETVMN.LATVMS.21_KM</v>
      </c>
      <c r="N165" s="13" t="str">
        <f>VLOOKUP(Tabla3[[#This Row],[Tipo]],TIPO[#All],2,0)</f>
        <v>ET</v>
      </c>
      <c r="O165" s="13" t="str">
        <f>VLOOKUP(Tabla3[[#This Row],[Lugar]],LUGAR[#All],2,0)</f>
        <v>VMN</v>
      </c>
      <c r="P165" s="13" t="str">
        <f>Tabla3[[#This Row],[SIGLAS]]</f>
        <v>LATVMS</v>
      </c>
      <c r="Q165" s="13" t="str">
        <f>_xlfn.IFNA(VLOOKUP(Tabla3[[#This Row],[Nivel de tension]],NIVEL[#All],2,0),"")</f>
        <v/>
      </c>
      <c r="R165" s="13" t="str">
        <f>_xlfn.IFNA(VLOOKUP(Tabla3[[#This Row],[DISPOSITIVO]],DISPOSITIVO[],2,0),"")</f>
        <v>21_</v>
      </c>
      <c r="S165" s="13" t="str">
        <f>_xlfn.IFNA(VLOOKUP(Tabla3[[#This Row],[PROTECCION SECUNDARIA]],PROTECCION_SECUNDARIA[],2,0),"")</f>
        <v/>
      </c>
      <c r="T165" s="13" t="str">
        <f>_xlfn.IFNA(VLOOKUP(Tabla3[[#This Row],[Que]],QUE[#All],2,0),"")</f>
        <v>KM</v>
      </c>
      <c r="U165" s="13" t="str">
        <f>_xlfn.IFNA(VLOOKUP(Tabla3[[#This Row],[Señal]],SEÑAL[#All],2,0),"")</f>
        <v/>
      </c>
      <c r="V165" s="13" t="str">
        <f>_xlfn.IFNA(VLOOKUP(Tabla3[[#This Row],[NUMERO]],SEÑAL[#All],2,0),"")</f>
        <v/>
      </c>
    </row>
    <row r="166" spans="1:22" x14ac:dyDescent="0.25">
      <c r="A166" s="25" t="s">
        <v>944</v>
      </c>
      <c r="B166" s="2" t="s">
        <v>8</v>
      </c>
      <c r="C166" s="2" t="s">
        <v>89</v>
      </c>
      <c r="D166" s="2" t="s">
        <v>110</v>
      </c>
      <c r="E166" s="2" t="s">
        <v>954</v>
      </c>
      <c r="G166" s="2" t="s">
        <v>318</v>
      </c>
      <c r="I166" s="2" t="s">
        <v>395</v>
      </c>
      <c r="J166" t="s">
        <v>599</v>
      </c>
      <c r="K166"/>
      <c r="L16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ETVMN.LATVMS.21_A_N</v>
      </c>
      <c r="N166" s="13" t="str">
        <f>VLOOKUP(Tabla3[[#This Row],[Tipo]],TIPO[#All],2,0)</f>
        <v>ET</v>
      </c>
      <c r="O166" s="13" t="str">
        <f>VLOOKUP(Tabla3[[#This Row],[Lugar]],LUGAR[#All],2,0)</f>
        <v>VMN</v>
      </c>
      <c r="P166" s="13" t="str">
        <f>Tabla3[[#This Row],[SIGLAS]]</f>
        <v>LATVMS</v>
      </c>
      <c r="Q166" s="13" t="str">
        <f>_xlfn.IFNA(VLOOKUP(Tabla3[[#This Row],[Nivel de tension]],NIVEL[#All],2,0),"")</f>
        <v/>
      </c>
      <c r="R166" s="13" t="str">
        <f>_xlfn.IFNA(VLOOKUP(Tabla3[[#This Row],[DISPOSITIVO]],DISPOSITIVO[],2,0),"")</f>
        <v>21_</v>
      </c>
      <c r="S166" s="13" t="str">
        <f>_xlfn.IFNA(VLOOKUP(Tabla3[[#This Row],[PROTECCION SECUNDARIA]],PROTECCION_SECUNDARIA[],2,0),"")</f>
        <v/>
      </c>
      <c r="T166" s="13" t="str">
        <f>_xlfn.IFNA(VLOOKUP(Tabla3[[#This Row],[Que]],QUE[#All],2,0),"")</f>
        <v>A</v>
      </c>
      <c r="U166" s="13" t="str">
        <f>_xlfn.IFNA(VLOOKUP(Tabla3[[#This Row],[Señal]],SEÑAL[#All],2,0),"")</f>
        <v>_N</v>
      </c>
      <c r="V166" s="13" t="str">
        <f>_xlfn.IFNA(VLOOKUP(Tabla3[[#This Row],[NUMERO]],SEÑAL[#All],2,0),"")</f>
        <v/>
      </c>
    </row>
    <row r="167" spans="1:22" x14ac:dyDescent="0.25">
      <c r="A167" s="25" t="s">
        <v>945</v>
      </c>
      <c r="B167" s="2" t="s">
        <v>8</v>
      </c>
      <c r="C167" s="2" t="s">
        <v>89</v>
      </c>
      <c r="D167" s="2" t="s">
        <v>110</v>
      </c>
      <c r="E167" s="2" t="s">
        <v>954</v>
      </c>
      <c r="G167" s="2" t="s">
        <v>318</v>
      </c>
      <c r="I167" s="2" t="s">
        <v>455</v>
      </c>
      <c r="J167" t="s">
        <v>611</v>
      </c>
      <c r="K167"/>
      <c r="L16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ETVMN.LATVMS.21_KV_R</v>
      </c>
      <c r="N167" s="13" t="str">
        <f>VLOOKUP(Tabla3[[#This Row],[Tipo]],TIPO[#All],2,0)</f>
        <v>ET</v>
      </c>
      <c r="O167" s="13" t="str">
        <f>VLOOKUP(Tabla3[[#This Row],[Lugar]],LUGAR[#All],2,0)</f>
        <v>VMN</v>
      </c>
      <c r="P167" s="13" t="str">
        <f>Tabla3[[#This Row],[SIGLAS]]</f>
        <v>LATVMS</v>
      </c>
      <c r="Q167" s="13" t="str">
        <f>_xlfn.IFNA(VLOOKUP(Tabla3[[#This Row],[Nivel de tension]],NIVEL[#All],2,0),"")</f>
        <v/>
      </c>
      <c r="R167" s="13" t="str">
        <f>_xlfn.IFNA(VLOOKUP(Tabla3[[#This Row],[DISPOSITIVO]],DISPOSITIVO[],2,0),"")</f>
        <v>21_</v>
      </c>
      <c r="S167" s="13" t="str">
        <f>_xlfn.IFNA(VLOOKUP(Tabla3[[#This Row],[PROTECCION SECUNDARIA]],PROTECCION_SECUNDARIA[],2,0),"")</f>
        <v/>
      </c>
      <c r="T167" s="13" t="str">
        <f>_xlfn.IFNA(VLOOKUP(Tabla3[[#This Row],[Que]],QUE[#All],2,0),"")</f>
        <v>KV</v>
      </c>
      <c r="U167" s="13" t="str">
        <f>_xlfn.IFNA(VLOOKUP(Tabla3[[#This Row],[Señal]],SEÑAL[#All],2,0),"")</f>
        <v>_R</v>
      </c>
      <c r="V167" s="13" t="str">
        <f>_xlfn.IFNA(VLOOKUP(Tabla3[[#This Row],[NUMERO]],SEÑAL[#All],2,0),"")</f>
        <v/>
      </c>
    </row>
    <row r="168" spans="1:22" x14ac:dyDescent="0.25">
      <c r="A168" s="25" t="s">
        <v>946</v>
      </c>
      <c r="B168" s="2" t="s">
        <v>8</v>
      </c>
      <c r="C168" s="2" t="s">
        <v>89</v>
      </c>
      <c r="D168" s="2" t="s">
        <v>110</v>
      </c>
      <c r="E168" s="2" t="s">
        <v>954</v>
      </c>
      <c r="G168" s="2" t="s">
        <v>318</v>
      </c>
      <c r="I168" s="2" t="s">
        <v>455</v>
      </c>
      <c r="J168" t="s">
        <v>634</v>
      </c>
      <c r="K168"/>
      <c r="L16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ETVMN.LATVMS.21_KV_S</v>
      </c>
      <c r="N168" s="13" t="str">
        <f>VLOOKUP(Tabla3[[#This Row],[Tipo]],TIPO[#All],2,0)</f>
        <v>ET</v>
      </c>
      <c r="O168" s="13" t="str">
        <f>VLOOKUP(Tabla3[[#This Row],[Lugar]],LUGAR[#All],2,0)</f>
        <v>VMN</v>
      </c>
      <c r="P168" s="13" t="str">
        <f>Tabla3[[#This Row],[SIGLAS]]</f>
        <v>LATVMS</v>
      </c>
      <c r="Q168" s="13" t="str">
        <f>_xlfn.IFNA(VLOOKUP(Tabla3[[#This Row],[Nivel de tension]],NIVEL[#All],2,0),"")</f>
        <v/>
      </c>
      <c r="R168" s="13" t="str">
        <f>_xlfn.IFNA(VLOOKUP(Tabla3[[#This Row],[DISPOSITIVO]],DISPOSITIVO[],2,0),"")</f>
        <v>21_</v>
      </c>
      <c r="S168" s="13" t="str">
        <f>_xlfn.IFNA(VLOOKUP(Tabla3[[#This Row],[PROTECCION SECUNDARIA]],PROTECCION_SECUNDARIA[],2,0),"")</f>
        <v/>
      </c>
      <c r="T168" s="13" t="str">
        <f>_xlfn.IFNA(VLOOKUP(Tabla3[[#This Row],[Que]],QUE[#All],2,0),"")</f>
        <v>KV</v>
      </c>
      <c r="U168" s="13" t="str">
        <f>_xlfn.IFNA(VLOOKUP(Tabla3[[#This Row],[Señal]],SEÑAL[#All],2,0),"")</f>
        <v>_S</v>
      </c>
      <c r="V168" s="13" t="str">
        <f>_xlfn.IFNA(VLOOKUP(Tabla3[[#This Row],[NUMERO]],SEÑAL[#All],2,0),"")</f>
        <v/>
      </c>
    </row>
    <row r="169" spans="1:22" x14ac:dyDescent="0.25">
      <c r="A169" s="25" t="s">
        <v>947</v>
      </c>
      <c r="B169" s="2" t="s">
        <v>8</v>
      </c>
      <c r="C169" s="2" t="s">
        <v>89</v>
      </c>
      <c r="D169" s="2" t="s">
        <v>110</v>
      </c>
      <c r="E169" s="2" t="s">
        <v>954</v>
      </c>
      <c r="G169" s="2" t="s">
        <v>318</v>
      </c>
      <c r="I169" s="2" t="s">
        <v>455</v>
      </c>
      <c r="J169" t="s">
        <v>647</v>
      </c>
      <c r="K169"/>
      <c r="L16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ETVMN.LATVMS.21_KV_T</v>
      </c>
      <c r="N169" s="13" t="str">
        <f>VLOOKUP(Tabla3[[#This Row],[Tipo]],TIPO[#All],2,0)</f>
        <v>ET</v>
      </c>
      <c r="O169" s="13" t="str">
        <f>VLOOKUP(Tabla3[[#This Row],[Lugar]],LUGAR[#All],2,0)</f>
        <v>VMN</v>
      </c>
      <c r="P169" s="13" t="str">
        <f>Tabla3[[#This Row],[SIGLAS]]</f>
        <v>LATVMS</v>
      </c>
      <c r="Q169" s="13" t="str">
        <f>_xlfn.IFNA(VLOOKUP(Tabla3[[#This Row],[Nivel de tension]],NIVEL[#All],2,0),"")</f>
        <v/>
      </c>
      <c r="R169" s="13" t="str">
        <f>_xlfn.IFNA(VLOOKUP(Tabla3[[#This Row],[DISPOSITIVO]],DISPOSITIVO[],2,0),"")</f>
        <v>21_</v>
      </c>
      <c r="S169" s="13" t="str">
        <f>_xlfn.IFNA(VLOOKUP(Tabla3[[#This Row],[PROTECCION SECUNDARIA]],PROTECCION_SECUNDARIA[],2,0),"")</f>
        <v/>
      </c>
      <c r="T169" s="13" t="str">
        <f>_xlfn.IFNA(VLOOKUP(Tabla3[[#This Row],[Que]],QUE[#All],2,0),"")</f>
        <v>KV</v>
      </c>
      <c r="U169" s="13" t="str">
        <f>_xlfn.IFNA(VLOOKUP(Tabla3[[#This Row],[Señal]],SEÑAL[#All],2,0),"")</f>
        <v>_T</v>
      </c>
      <c r="V169" s="13" t="str">
        <f>_xlfn.IFNA(VLOOKUP(Tabla3[[#This Row],[NUMERO]],SEÑAL[#All],2,0),"")</f>
        <v/>
      </c>
    </row>
    <row r="170" spans="1:22" x14ac:dyDescent="0.25">
      <c r="A170" s="25" t="s">
        <v>948</v>
      </c>
      <c r="B170" s="2" t="s">
        <v>8</v>
      </c>
      <c r="C170" s="2" t="s">
        <v>89</v>
      </c>
      <c r="D170" s="2" t="s">
        <v>110</v>
      </c>
      <c r="E170" s="2" t="s">
        <v>954</v>
      </c>
      <c r="G170" s="2" t="s">
        <v>318</v>
      </c>
      <c r="I170" s="2" t="s">
        <v>395</v>
      </c>
      <c r="J170" t="s">
        <v>620</v>
      </c>
      <c r="K170"/>
      <c r="L17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ETVMN.LATVMS.21_A_RS</v>
      </c>
      <c r="N170" s="13" t="str">
        <f>VLOOKUP(Tabla3[[#This Row],[Tipo]],TIPO[#All],2,0)</f>
        <v>ET</v>
      </c>
      <c r="O170" s="13" t="str">
        <f>VLOOKUP(Tabla3[[#This Row],[Lugar]],LUGAR[#All],2,0)</f>
        <v>VMN</v>
      </c>
      <c r="P170" s="13" t="str">
        <f>Tabla3[[#This Row],[SIGLAS]]</f>
        <v>LATVMS</v>
      </c>
      <c r="Q170" s="13" t="str">
        <f>_xlfn.IFNA(VLOOKUP(Tabla3[[#This Row],[Nivel de tension]],NIVEL[#All],2,0),"")</f>
        <v/>
      </c>
      <c r="R170" s="13" t="str">
        <f>_xlfn.IFNA(VLOOKUP(Tabla3[[#This Row],[DISPOSITIVO]],DISPOSITIVO[],2,0),"")</f>
        <v>21_</v>
      </c>
      <c r="S170" s="13" t="str">
        <f>_xlfn.IFNA(VLOOKUP(Tabla3[[#This Row],[PROTECCION SECUNDARIA]],PROTECCION_SECUNDARIA[],2,0),"")</f>
        <v/>
      </c>
      <c r="T170" s="13" t="str">
        <f>_xlfn.IFNA(VLOOKUP(Tabla3[[#This Row],[Que]],QUE[#All],2,0),"")</f>
        <v>A</v>
      </c>
      <c r="U170" s="13" t="str">
        <f>_xlfn.IFNA(VLOOKUP(Tabla3[[#This Row],[Señal]],SEÑAL[#All],2,0),"")</f>
        <v>_RS</v>
      </c>
      <c r="V170" s="13" t="str">
        <f>_xlfn.IFNA(VLOOKUP(Tabla3[[#This Row],[NUMERO]],SEÑAL[#All],2,0),"")</f>
        <v/>
      </c>
    </row>
    <row r="171" spans="1:22" x14ac:dyDescent="0.25">
      <c r="A171" s="25" t="s">
        <v>949</v>
      </c>
      <c r="B171" s="2" t="s">
        <v>8</v>
      </c>
      <c r="C171" s="2" t="s">
        <v>89</v>
      </c>
      <c r="D171" s="2" t="s">
        <v>110</v>
      </c>
      <c r="E171" s="2" t="s">
        <v>954</v>
      </c>
      <c r="G171" s="2" t="s">
        <v>318</v>
      </c>
      <c r="I171" s="2" t="s">
        <v>395</v>
      </c>
      <c r="J171" t="s">
        <v>956</v>
      </c>
      <c r="K171"/>
      <c r="L17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ETVMN.LATVMS.21_A_ST</v>
      </c>
      <c r="N171" s="13" t="str">
        <f>VLOOKUP(Tabla3[[#This Row],[Tipo]],TIPO[#All],2,0)</f>
        <v>ET</v>
      </c>
      <c r="O171" s="13" t="str">
        <f>VLOOKUP(Tabla3[[#This Row],[Lugar]],LUGAR[#All],2,0)</f>
        <v>VMN</v>
      </c>
      <c r="P171" s="13" t="str">
        <f>Tabla3[[#This Row],[SIGLAS]]</f>
        <v>LATVMS</v>
      </c>
      <c r="Q171" s="13" t="str">
        <f>_xlfn.IFNA(VLOOKUP(Tabla3[[#This Row],[Nivel de tension]],NIVEL[#All],2,0),"")</f>
        <v/>
      </c>
      <c r="R171" s="13" t="str">
        <f>_xlfn.IFNA(VLOOKUP(Tabla3[[#This Row],[DISPOSITIVO]],DISPOSITIVO[],2,0),"")</f>
        <v>21_</v>
      </c>
      <c r="S171" s="13" t="str">
        <f>_xlfn.IFNA(VLOOKUP(Tabla3[[#This Row],[PROTECCION SECUNDARIA]],PROTECCION_SECUNDARIA[],2,0),"")</f>
        <v/>
      </c>
      <c r="T171" s="13" t="str">
        <f>_xlfn.IFNA(VLOOKUP(Tabla3[[#This Row],[Que]],QUE[#All],2,0),"")</f>
        <v>A</v>
      </c>
      <c r="U171" s="13" t="str">
        <f>_xlfn.IFNA(VLOOKUP(Tabla3[[#This Row],[Señal]],SEÑAL[#All],2,0),"")</f>
        <v>_ST</v>
      </c>
      <c r="V171" s="13" t="str">
        <f>_xlfn.IFNA(VLOOKUP(Tabla3[[#This Row],[NUMERO]],SEÑAL[#All],2,0),"")</f>
        <v/>
      </c>
    </row>
    <row r="172" spans="1:22" x14ac:dyDescent="0.25">
      <c r="A172" s="25" t="s">
        <v>950</v>
      </c>
      <c r="B172" s="2" t="s">
        <v>8</v>
      </c>
      <c r="C172" s="2" t="s">
        <v>89</v>
      </c>
      <c r="D172" s="2" t="s">
        <v>110</v>
      </c>
      <c r="E172" s="2" t="s">
        <v>954</v>
      </c>
      <c r="G172" s="2" t="s">
        <v>318</v>
      </c>
      <c r="I172" s="2" t="s">
        <v>395</v>
      </c>
      <c r="J172" t="s">
        <v>652</v>
      </c>
      <c r="K172"/>
      <c r="L17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ETVMN.LATVMS.21_A_TR</v>
      </c>
      <c r="N172" s="13" t="str">
        <f>VLOOKUP(Tabla3[[#This Row],[Tipo]],TIPO[#All],2,0)</f>
        <v>ET</v>
      </c>
      <c r="O172" s="13" t="str">
        <f>VLOOKUP(Tabla3[[#This Row],[Lugar]],LUGAR[#All],2,0)</f>
        <v>VMN</v>
      </c>
      <c r="P172" s="13" t="str">
        <f>Tabla3[[#This Row],[SIGLAS]]</f>
        <v>LATVMS</v>
      </c>
      <c r="Q172" s="13" t="str">
        <f>_xlfn.IFNA(VLOOKUP(Tabla3[[#This Row],[Nivel de tension]],NIVEL[#All],2,0),"")</f>
        <v/>
      </c>
      <c r="R172" s="13" t="str">
        <f>_xlfn.IFNA(VLOOKUP(Tabla3[[#This Row],[DISPOSITIVO]],DISPOSITIVO[],2,0),"")</f>
        <v>21_</v>
      </c>
      <c r="S172" s="13" t="str">
        <f>_xlfn.IFNA(VLOOKUP(Tabla3[[#This Row],[PROTECCION SECUNDARIA]],PROTECCION_SECUNDARIA[],2,0),"")</f>
        <v/>
      </c>
      <c r="T172" s="13" t="str">
        <f>_xlfn.IFNA(VLOOKUP(Tabla3[[#This Row],[Que]],QUE[#All],2,0),"")</f>
        <v>A</v>
      </c>
      <c r="U172" s="13" t="str">
        <f>_xlfn.IFNA(VLOOKUP(Tabla3[[#This Row],[Señal]],SEÑAL[#All],2,0),"")</f>
        <v>_TR</v>
      </c>
      <c r="V172" s="13" t="str">
        <f>_xlfn.IFNA(VLOOKUP(Tabla3[[#This Row],[NUMERO]],SEÑAL[#All],2,0),"")</f>
        <v/>
      </c>
    </row>
    <row r="173" spans="1:22" x14ac:dyDescent="0.25">
      <c r="A173" s="25" t="s">
        <v>951</v>
      </c>
      <c r="B173" s="2" t="s">
        <v>8</v>
      </c>
      <c r="C173" s="2" t="s">
        <v>89</v>
      </c>
      <c r="D173" s="2" t="s">
        <v>110</v>
      </c>
      <c r="E173" s="2" t="s">
        <v>954</v>
      </c>
      <c r="G173" s="2" t="s">
        <v>318</v>
      </c>
      <c r="I173" s="2" t="s">
        <v>451</v>
      </c>
      <c r="J173"/>
      <c r="K173"/>
      <c r="L17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ETVMN.LATVMS.21_HZ</v>
      </c>
      <c r="N173" s="13" t="str">
        <f>VLOOKUP(Tabla3[[#This Row],[Tipo]],TIPO[#All],2,0)</f>
        <v>ET</v>
      </c>
      <c r="O173" s="13" t="str">
        <f>VLOOKUP(Tabla3[[#This Row],[Lugar]],LUGAR[#All],2,0)</f>
        <v>VMN</v>
      </c>
      <c r="P173" s="13" t="str">
        <f>Tabla3[[#This Row],[SIGLAS]]</f>
        <v>LATVMS</v>
      </c>
      <c r="Q173" s="13" t="str">
        <f>_xlfn.IFNA(VLOOKUP(Tabla3[[#This Row],[Nivel de tension]],NIVEL[#All],2,0),"")</f>
        <v/>
      </c>
      <c r="R173" s="13" t="str">
        <f>_xlfn.IFNA(VLOOKUP(Tabla3[[#This Row],[DISPOSITIVO]],DISPOSITIVO[],2,0),"")</f>
        <v>21_</v>
      </c>
      <c r="S173" s="13" t="str">
        <f>_xlfn.IFNA(VLOOKUP(Tabla3[[#This Row],[PROTECCION SECUNDARIA]],PROTECCION_SECUNDARIA[],2,0),"")</f>
        <v/>
      </c>
      <c r="T173" s="13" t="str">
        <f>_xlfn.IFNA(VLOOKUP(Tabla3[[#This Row],[Que]],QUE[#All],2,0),"")</f>
        <v>HZ</v>
      </c>
      <c r="U173" s="13" t="str">
        <f>_xlfn.IFNA(VLOOKUP(Tabla3[[#This Row],[Señal]],SEÑAL[#All],2,0),"")</f>
        <v/>
      </c>
      <c r="V173" s="13" t="str">
        <f>_xlfn.IFNA(VLOOKUP(Tabla3[[#This Row],[NUMERO]],SEÑAL[#All],2,0),"")</f>
        <v/>
      </c>
    </row>
    <row r="174" spans="1:22" x14ac:dyDescent="0.25">
      <c r="A174" s="25" t="s">
        <v>952</v>
      </c>
      <c r="B174" s="2" t="s">
        <v>8</v>
      </c>
      <c r="C174" s="2" t="s">
        <v>89</v>
      </c>
      <c r="D174" s="2" t="s">
        <v>110</v>
      </c>
      <c r="E174" s="2" t="s">
        <v>954</v>
      </c>
      <c r="G174" s="2" t="s">
        <v>318</v>
      </c>
      <c r="I174" s="2" t="s">
        <v>456</v>
      </c>
      <c r="J174"/>
      <c r="K174"/>
      <c r="L17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ETVMN.LATVMS.21_KVA</v>
      </c>
      <c r="N174" s="13" t="str">
        <f>VLOOKUP(Tabla3[[#This Row],[Tipo]],TIPO[#All],2,0)</f>
        <v>ET</v>
      </c>
      <c r="O174" s="13" t="str">
        <f>VLOOKUP(Tabla3[[#This Row],[Lugar]],LUGAR[#All],2,0)</f>
        <v>VMN</v>
      </c>
      <c r="P174" s="13" t="str">
        <f>Tabla3[[#This Row],[SIGLAS]]</f>
        <v>LATVMS</v>
      </c>
      <c r="Q174" s="13" t="str">
        <f>_xlfn.IFNA(VLOOKUP(Tabla3[[#This Row],[Nivel de tension]],NIVEL[#All],2,0),"")</f>
        <v/>
      </c>
      <c r="R174" s="13" t="str">
        <f>_xlfn.IFNA(VLOOKUP(Tabla3[[#This Row],[DISPOSITIVO]],DISPOSITIVO[],2,0),"")</f>
        <v>21_</v>
      </c>
      <c r="S174" s="13" t="str">
        <f>_xlfn.IFNA(VLOOKUP(Tabla3[[#This Row],[PROTECCION SECUNDARIA]],PROTECCION_SECUNDARIA[],2,0),"")</f>
        <v/>
      </c>
      <c r="T174" s="13" t="str">
        <f>_xlfn.IFNA(VLOOKUP(Tabla3[[#This Row],[Que]],QUE[#All],2,0),"")</f>
        <v>KVA</v>
      </c>
      <c r="U174" s="13" t="str">
        <f>_xlfn.IFNA(VLOOKUP(Tabla3[[#This Row],[Señal]],SEÑAL[#All],2,0),"")</f>
        <v/>
      </c>
      <c r="V174" s="13" t="str">
        <f>_xlfn.IFNA(VLOOKUP(Tabla3[[#This Row],[NUMERO]],SEÑAL[#All],2,0),"")</f>
        <v/>
      </c>
    </row>
    <row r="175" spans="1:22" x14ac:dyDescent="0.25">
      <c r="A175" s="25" t="s">
        <v>953</v>
      </c>
      <c r="B175" s="2" t="s">
        <v>8</v>
      </c>
      <c r="C175" s="2" t="s">
        <v>89</v>
      </c>
      <c r="D175" s="2" t="s">
        <v>110</v>
      </c>
      <c r="E175" s="2" t="s">
        <v>954</v>
      </c>
      <c r="G175" s="2" t="s">
        <v>318</v>
      </c>
      <c r="I175" s="2" t="s">
        <v>455</v>
      </c>
      <c r="J175" t="s">
        <v>599</v>
      </c>
      <c r="K175"/>
      <c r="L17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ETVMN.LATVMS.21_KV_N</v>
      </c>
      <c r="N175" s="13" t="str">
        <f>VLOOKUP(Tabla3[[#This Row],[Tipo]],TIPO[#All],2,0)</f>
        <v>ET</v>
      </c>
      <c r="O175" s="13" t="str">
        <f>VLOOKUP(Tabla3[[#This Row],[Lugar]],LUGAR[#All],2,0)</f>
        <v>VMN</v>
      </c>
      <c r="P175" s="13" t="str">
        <f>Tabla3[[#This Row],[SIGLAS]]</f>
        <v>LATVMS</v>
      </c>
      <c r="Q175" s="13" t="str">
        <f>_xlfn.IFNA(VLOOKUP(Tabla3[[#This Row],[Nivel de tension]],NIVEL[#All],2,0),"")</f>
        <v/>
      </c>
      <c r="R175" s="13" t="str">
        <f>_xlfn.IFNA(VLOOKUP(Tabla3[[#This Row],[DISPOSITIVO]],DISPOSITIVO[],2,0),"")</f>
        <v>21_</v>
      </c>
      <c r="S175" s="13" t="str">
        <f>_xlfn.IFNA(VLOOKUP(Tabla3[[#This Row],[PROTECCION SECUNDARIA]],PROTECCION_SECUNDARIA[],2,0),"")</f>
        <v/>
      </c>
      <c r="T175" s="13" t="str">
        <f>_xlfn.IFNA(VLOOKUP(Tabla3[[#This Row],[Que]],QUE[#All],2,0),"")</f>
        <v>KV</v>
      </c>
      <c r="U175" s="13" t="str">
        <f>_xlfn.IFNA(VLOOKUP(Tabla3[[#This Row],[Señal]],SEÑAL[#All],2,0),"")</f>
        <v>_N</v>
      </c>
      <c r="V175" s="13" t="str">
        <f>_xlfn.IFNA(VLOOKUP(Tabla3[[#This Row],[NUMERO]],SEÑAL[#All],2,0),"")</f>
        <v/>
      </c>
    </row>
    <row r="176" spans="1:22" x14ac:dyDescent="0.25">
      <c r="A176" s="26" t="s">
        <v>974</v>
      </c>
      <c r="B176" s="2" t="s">
        <v>8</v>
      </c>
      <c r="C176" s="2" t="s">
        <v>89</v>
      </c>
      <c r="D176" s="2" t="s">
        <v>109</v>
      </c>
      <c r="E176" s="2" t="s">
        <v>1381</v>
      </c>
      <c r="F176" s="2" t="s">
        <v>14</v>
      </c>
      <c r="G176" s="2" t="s">
        <v>29</v>
      </c>
      <c r="I176" s="2" t="s">
        <v>438</v>
      </c>
      <c r="J176"/>
      <c r="K176"/>
      <c r="L17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ETVMN.TR3.352_EST</v>
      </c>
      <c r="N176" s="13" t="str">
        <f>VLOOKUP(Tabla3[[#This Row],[Tipo]],TIPO[#All],2,0)</f>
        <v>ET</v>
      </c>
      <c r="O176" s="13" t="str">
        <f>VLOOKUP(Tabla3[[#This Row],[Lugar]],LUGAR[#All],2,0)</f>
        <v>VMN</v>
      </c>
      <c r="P176" s="13" t="str">
        <f>Tabla3[[#This Row],[SIGLAS]]</f>
        <v>TR3</v>
      </c>
      <c r="Q176" s="13">
        <f>_xlfn.IFNA(VLOOKUP(Tabla3[[#This Row],[Nivel de tension]],NIVEL[#All],2,0),"")</f>
        <v>3</v>
      </c>
      <c r="R176" s="13" t="str">
        <f>_xlfn.IFNA(VLOOKUP(Tabla3[[#This Row],[DISPOSITIVO]],DISPOSITIVO[],2,0),"")</f>
        <v>52_</v>
      </c>
      <c r="S176" s="13" t="str">
        <f>_xlfn.IFNA(VLOOKUP(Tabla3[[#This Row],[PROTECCION SECUNDARIA]],PROTECCION_SECUNDARIA[],2,0),"")</f>
        <v/>
      </c>
      <c r="T176" s="13" t="str">
        <f>_xlfn.IFNA(VLOOKUP(Tabla3[[#This Row],[Que]],QUE[#All],2,0),"")</f>
        <v>EST</v>
      </c>
      <c r="U176" s="13" t="str">
        <f>_xlfn.IFNA(VLOOKUP(Tabla3[[#This Row],[Señal]],SEÑAL[#All],2,0),"")</f>
        <v/>
      </c>
      <c r="V176" s="13" t="str">
        <f>_xlfn.IFNA(VLOOKUP(Tabla3[[#This Row],[NUMERO]],SEÑAL[#All],2,0),"")</f>
        <v/>
      </c>
    </row>
    <row r="177" spans="1:22" x14ac:dyDescent="0.25">
      <c r="A177" s="26" t="s">
        <v>975</v>
      </c>
      <c r="B177" s="2" t="s">
        <v>8</v>
      </c>
      <c r="C177" s="2" t="s">
        <v>89</v>
      </c>
      <c r="D177" s="2" t="s">
        <v>109</v>
      </c>
      <c r="E177" s="2" t="s">
        <v>1381</v>
      </c>
      <c r="F177" s="2" t="s">
        <v>14</v>
      </c>
      <c r="G177" s="2" t="s">
        <v>859</v>
      </c>
      <c r="I177" s="2" t="s">
        <v>438</v>
      </c>
      <c r="J177"/>
      <c r="K177"/>
      <c r="L17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ETVMN.TR3.389B_EST</v>
      </c>
      <c r="N177" s="13" t="str">
        <f>VLOOKUP(Tabla3[[#This Row],[Tipo]],TIPO[#All],2,0)</f>
        <v>ET</v>
      </c>
      <c r="O177" s="13" t="str">
        <f>VLOOKUP(Tabla3[[#This Row],[Lugar]],LUGAR[#All],2,0)</f>
        <v>VMN</v>
      </c>
      <c r="P177" s="13" t="str">
        <f>Tabla3[[#This Row],[SIGLAS]]</f>
        <v>TR3</v>
      </c>
      <c r="Q177" s="13">
        <f>_xlfn.IFNA(VLOOKUP(Tabla3[[#This Row],[Nivel de tension]],NIVEL[#All],2,0),"")</f>
        <v>3</v>
      </c>
      <c r="R177" s="13" t="str">
        <f>_xlfn.IFNA(VLOOKUP(Tabla3[[#This Row],[DISPOSITIVO]],DISPOSITIVO[],2,0),"")</f>
        <v>89B_</v>
      </c>
      <c r="S177" s="13" t="str">
        <f>_xlfn.IFNA(VLOOKUP(Tabla3[[#This Row],[PROTECCION SECUNDARIA]],PROTECCION_SECUNDARIA[],2,0),"")</f>
        <v/>
      </c>
      <c r="T177" s="13" t="str">
        <f>_xlfn.IFNA(VLOOKUP(Tabla3[[#This Row],[Que]],QUE[#All],2,0),"")</f>
        <v>EST</v>
      </c>
      <c r="U177" s="13" t="str">
        <f>_xlfn.IFNA(VLOOKUP(Tabla3[[#This Row],[Señal]],SEÑAL[#All],2,0),"")</f>
        <v/>
      </c>
      <c r="V177" s="13" t="str">
        <f>_xlfn.IFNA(VLOOKUP(Tabla3[[#This Row],[NUMERO]],SEÑAL[#All],2,0),"")</f>
        <v/>
      </c>
    </row>
    <row r="178" spans="1:22" x14ac:dyDescent="0.25">
      <c r="A178" s="26" t="s">
        <v>976</v>
      </c>
      <c r="B178" s="2" t="s">
        <v>8</v>
      </c>
      <c r="C178" s="2" t="s">
        <v>89</v>
      </c>
      <c r="D178" s="2" t="s">
        <v>109</v>
      </c>
      <c r="E178" s="2" t="s">
        <v>1381</v>
      </c>
      <c r="F178" s="2" t="s">
        <v>14</v>
      </c>
      <c r="G178" s="2" t="s">
        <v>843</v>
      </c>
      <c r="I178" s="2" t="s">
        <v>438</v>
      </c>
      <c r="J178"/>
      <c r="K178"/>
      <c r="L17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ETVMN.TR3.389T_EST</v>
      </c>
      <c r="N178" s="13" t="str">
        <f>VLOOKUP(Tabla3[[#This Row],[Tipo]],TIPO[#All],2,0)</f>
        <v>ET</v>
      </c>
      <c r="O178" s="13" t="str">
        <f>VLOOKUP(Tabla3[[#This Row],[Lugar]],LUGAR[#All],2,0)</f>
        <v>VMN</v>
      </c>
      <c r="P178" s="13" t="str">
        <f>Tabla3[[#This Row],[SIGLAS]]</f>
        <v>TR3</v>
      </c>
      <c r="Q178" s="13">
        <f>_xlfn.IFNA(VLOOKUP(Tabla3[[#This Row],[Nivel de tension]],NIVEL[#All],2,0),"")</f>
        <v>3</v>
      </c>
      <c r="R178" s="13" t="str">
        <f>_xlfn.IFNA(VLOOKUP(Tabla3[[#This Row],[DISPOSITIVO]],DISPOSITIVO[],2,0),"")</f>
        <v>89T_</v>
      </c>
      <c r="S178" s="13" t="str">
        <f>_xlfn.IFNA(VLOOKUP(Tabla3[[#This Row],[PROTECCION SECUNDARIA]],PROTECCION_SECUNDARIA[],2,0),"")</f>
        <v/>
      </c>
      <c r="T178" s="13" t="str">
        <f>_xlfn.IFNA(VLOOKUP(Tabla3[[#This Row],[Que]],QUE[#All],2,0),"")</f>
        <v>EST</v>
      </c>
      <c r="U178" s="13" t="str">
        <f>_xlfn.IFNA(VLOOKUP(Tabla3[[#This Row],[Señal]],SEÑAL[#All],2,0),"")</f>
        <v/>
      </c>
      <c r="V178" s="13" t="str">
        <f>_xlfn.IFNA(VLOOKUP(Tabla3[[#This Row],[NUMERO]],SEÑAL[#All],2,0),"")</f>
        <v/>
      </c>
    </row>
    <row r="179" spans="1:22" x14ac:dyDescent="0.25">
      <c r="A179" s="26" t="s">
        <v>977</v>
      </c>
      <c r="B179" s="2" t="s">
        <v>8</v>
      </c>
      <c r="C179" s="2" t="s">
        <v>89</v>
      </c>
      <c r="D179" s="2" t="s">
        <v>109</v>
      </c>
      <c r="E179" s="2" t="s">
        <v>1381</v>
      </c>
      <c r="G179" s="2" t="s">
        <v>369</v>
      </c>
      <c r="I179" s="2" t="s">
        <v>438</v>
      </c>
      <c r="J179"/>
      <c r="K179"/>
      <c r="L17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ETVMN.TR3.RBC_EST</v>
      </c>
      <c r="N179" s="13" t="str">
        <f>VLOOKUP(Tabla3[[#This Row],[Tipo]],TIPO[#All],2,0)</f>
        <v>ET</v>
      </c>
      <c r="O179" s="13" t="str">
        <f>VLOOKUP(Tabla3[[#This Row],[Lugar]],LUGAR[#All],2,0)</f>
        <v>VMN</v>
      </c>
      <c r="P179" s="13" t="str">
        <f>Tabla3[[#This Row],[SIGLAS]]</f>
        <v>TR3</v>
      </c>
      <c r="Q179" s="13" t="str">
        <f>_xlfn.IFNA(VLOOKUP(Tabla3[[#This Row],[Nivel de tension]],NIVEL[#All],2,0),"")</f>
        <v/>
      </c>
      <c r="R179" s="13" t="str">
        <f>_xlfn.IFNA(VLOOKUP(Tabla3[[#This Row],[DISPOSITIVO]],DISPOSITIVO[],2,0),"")</f>
        <v>RBC_</v>
      </c>
      <c r="S179" s="13" t="str">
        <f>_xlfn.IFNA(VLOOKUP(Tabla3[[#This Row],[PROTECCION SECUNDARIA]],PROTECCION_SECUNDARIA[],2,0),"")</f>
        <v/>
      </c>
      <c r="T179" s="13" t="str">
        <f>_xlfn.IFNA(VLOOKUP(Tabla3[[#This Row],[Que]],QUE[#All],2,0),"")</f>
        <v>EST</v>
      </c>
      <c r="U179" s="13" t="str">
        <f>_xlfn.IFNA(VLOOKUP(Tabla3[[#This Row],[Señal]],SEÑAL[#All],2,0),"")</f>
        <v/>
      </c>
      <c r="V179" s="13" t="str">
        <f>_xlfn.IFNA(VLOOKUP(Tabla3[[#This Row],[NUMERO]],SEÑAL[#All],2,0),"")</f>
        <v/>
      </c>
    </row>
    <row r="180" spans="1:22" x14ac:dyDescent="0.25">
      <c r="A180" s="26" t="s">
        <v>978</v>
      </c>
      <c r="B180" s="2" t="s">
        <v>8</v>
      </c>
      <c r="C180" s="2" t="s">
        <v>89</v>
      </c>
      <c r="D180" s="2" t="s">
        <v>109</v>
      </c>
      <c r="E180" s="2" t="s">
        <v>1381</v>
      </c>
      <c r="G180" s="2" t="s">
        <v>369</v>
      </c>
      <c r="I180" s="2" t="s">
        <v>1383</v>
      </c>
      <c r="J180"/>
      <c r="K180"/>
      <c r="L18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ETVMN.TR3.RBC_CDO</v>
      </c>
      <c r="N180" s="13" t="str">
        <f>VLOOKUP(Tabla3[[#This Row],[Tipo]],TIPO[#All],2,0)</f>
        <v>ET</v>
      </c>
      <c r="O180" s="13" t="str">
        <f>VLOOKUP(Tabla3[[#This Row],[Lugar]],LUGAR[#All],2,0)</f>
        <v>VMN</v>
      </c>
      <c r="P180" s="13" t="str">
        <f>Tabla3[[#This Row],[SIGLAS]]</f>
        <v>TR3</v>
      </c>
      <c r="Q180" s="13" t="str">
        <f>_xlfn.IFNA(VLOOKUP(Tabla3[[#This Row],[Nivel de tension]],NIVEL[#All],2,0),"")</f>
        <v/>
      </c>
      <c r="R180" s="13" t="str">
        <f>_xlfn.IFNA(VLOOKUP(Tabla3[[#This Row],[DISPOSITIVO]],DISPOSITIVO[],2,0),"")</f>
        <v>RBC_</v>
      </c>
      <c r="S180" s="13" t="str">
        <f>_xlfn.IFNA(VLOOKUP(Tabla3[[#This Row],[PROTECCION SECUNDARIA]],PROTECCION_SECUNDARIA[],2,0),"")</f>
        <v/>
      </c>
      <c r="T180" s="13" t="str">
        <f>_xlfn.IFNA(VLOOKUP(Tabla3[[#This Row],[Que]],QUE[#All],2,0),"")</f>
        <v>CDO</v>
      </c>
      <c r="U180" s="13" t="str">
        <f>_xlfn.IFNA(VLOOKUP(Tabla3[[#This Row],[Señal]],SEÑAL[#All],2,0),"")</f>
        <v/>
      </c>
      <c r="V180" s="13" t="str">
        <f>_xlfn.IFNA(VLOOKUP(Tabla3[[#This Row],[NUMERO]],SEÑAL[#All],2,0),"")</f>
        <v/>
      </c>
    </row>
    <row r="181" spans="1:22" x14ac:dyDescent="0.25">
      <c r="A181" s="26" t="s">
        <v>979</v>
      </c>
      <c r="B181" s="2" t="s">
        <v>8</v>
      </c>
      <c r="C181" s="2" t="s">
        <v>89</v>
      </c>
      <c r="D181" s="2" t="s">
        <v>109</v>
      </c>
      <c r="E181" s="2" t="s">
        <v>1381</v>
      </c>
      <c r="G181" s="2" t="s">
        <v>376</v>
      </c>
      <c r="I181" s="2" t="s">
        <v>438</v>
      </c>
      <c r="J181"/>
      <c r="K181"/>
      <c r="L18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ETVMN.TR3.VENT_EST</v>
      </c>
      <c r="N181" s="13" t="str">
        <f>VLOOKUP(Tabla3[[#This Row],[Tipo]],TIPO[#All],2,0)</f>
        <v>ET</v>
      </c>
      <c r="O181" s="13" t="str">
        <f>VLOOKUP(Tabla3[[#This Row],[Lugar]],LUGAR[#All],2,0)</f>
        <v>VMN</v>
      </c>
      <c r="P181" s="13" t="str">
        <f>Tabla3[[#This Row],[SIGLAS]]</f>
        <v>TR3</v>
      </c>
      <c r="Q181" s="13" t="str">
        <f>_xlfn.IFNA(VLOOKUP(Tabla3[[#This Row],[Nivel de tension]],NIVEL[#All],2,0),"")</f>
        <v/>
      </c>
      <c r="R181" s="13" t="str">
        <f>_xlfn.IFNA(VLOOKUP(Tabla3[[#This Row],[DISPOSITIVO]],DISPOSITIVO[],2,0),"")</f>
        <v>VENT_</v>
      </c>
      <c r="S181" s="13" t="str">
        <f>_xlfn.IFNA(VLOOKUP(Tabla3[[#This Row],[PROTECCION SECUNDARIA]],PROTECCION_SECUNDARIA[],2,0),"")</f>
        <v/>
      </c>
      <c r="T181" s="13" t="str">
        <f>_xlfn.IFNA(VLOOKUP(Tabla3[[#This Row],[Que]],QUE[#All],2,0),"")</f>
        <v>EST</v>
      </c>
      <c r="U181" s="13" t="str">
        <f>_xlfn.IFNA(VLOOKUP(Tabla3[[#This Row],[Señal]],SEÑAL[#All],2,0),"")</f>
        <v/>
      </c>
      <c r="V181" s="13" t="str">
        <f>_xlfn.IFNA(VLOOKUP(Tabla3[[#This Row],[NUMERO]],SEÑAL[#All],2,0),"")</f>
        <v/>
      </c>
    </row>
    <row r="182" spans="1:22" x14ac:dyDescent="0.25">
      <c r="A182" s="26" t="s">
        <v>980</v>
      </c>
      <c r="B182" s="2" t="s">
        <v>8</v>
      </c>
      <c r="C182" s="2" t="s">
        <v>89</v>
      </c>
      <c r="D182" s="2" t="s">
        <v>109</v>
      </c>
      <c r="E182" s="2" t="s">
        <v>1381</v>
      </c>
      <c r="G182" s="2" t="s">
        <v>376</v>
      </c>
      <c r="I182" s="2" t="s">
        <v>1383</v>
      </c>
      <c r="J182"/>
      <c r="K182"/>
      <c r="L18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ETVMN.TR3.VENT_CDO</v>
      </c>
      <c r="N182" s="13" t="str">
        <f>VLOOKUP(Tabla3[[#This Row],[Tipo]],TIPO[#All],2,0)</f>
        <v>ET</v>
      </c>
      <c r="O182" s="13" t="str">
        <f>VLOOKUP(Tabla3[[#This Row],[Lugar]],LUGAR[#All],2,0)</f>
        <v>VMN</v>
      </c>
      <c r="P182" s="13" t="str">
        <f>Tabla3[[#This Row],[SIGLAS]]</f>
        <v>TR3</v>
      </c>
      <c r="Q182" s="13" t="str">
        <f>_xlfn.IFNA(VLOOKUP(Tabla3[[#This Row],[Nivel de tension]],NIVEL[#All],2,0),"")</f>
        <v/>
      </c>
      <c r="R182" s="13" t="str">
        <f>_xlfn.IFNA(VLOOKUP(Tabla3[[#This Row],[DISPOSITIVO]],DISPOSITIVO[],2,0),"")</f>
        <v>VENT_</v>
      </c>
      <c r="S182" s="13" t="str">
        <f>_xlfn.IFNA(VLOOKUP(Tabla3[[#This Row],[PROTECCION SECUNDARIA]],PROTECCION_SECUNDARIA[],2,0),"")</f>
        <v/>
      </c>
      <c r="T182" s="13" t="str">
        <f>_xlfn.IFNA(VLOOKUP(Tabla3[[#This Row],[Que]],QUE[#All],2,0),"")</f>
        <v>CDO</v>
      </c>
      <c r="U182" s="13" t="str">
        <f>_xlfn.IFNA(VLOOKUP(Tabla3[[#This Row],[Señal]],SEÑAL[#All],2,0),"")</f>
        <v/>
      </c>
      <c r="V182" s="13" t="str">
        <f>_xlfn.IFNA(VLOOKUP(Tabla3[[#This Row],[NUMERO]],SEÑAL[#All],2,0),"")</f>
        <v/>
      </c>
    </row>
    <row r="183" spans="1:22" x14ac:dyDescent="0.25">
      <c r="A183" s="26" t="s">
        <v>981</v>
      </c>
      <c r="B183" s="2" t="s">
        <v>8</v>
      </c>
      <c r="C183" s="2" t="s">
        <v>89</v>
      </c>
      <c r="D183" s="2" t="s">
        <v>109</v>
      </c>
      <c r="E183" s="2" t="s">
        <v>1381</v>
      </c>
      <c r="F183" s="2" t="s">
        <v>10</v>
      </c>
      <c r="G183" s="2" t="s">
        <v>29</v>
      </c>
      <c r="I183" s="2" t="s">
        <v>438</v>
      </c>
      <c r="J183"/>
      <c r="K183"/>
      <c r="L18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ETVMN.TR3.252_EST</v>
      </c>
      <c r="N183" s="13" t="str">
        <f>VLOOKUP(Tabla3[[#This Row],[Tipo]],TIPO[#All],2,0)</f>
        <v>ET</v>
      </c>
      <c r="O183" s="13" t="str">
        <f>VLOOKUP(Tabla3[[#This Row],[Lugar]],LUGAR[#All],2,0)</f>
        <v>VMN</v>
      </c>
      <c r="P183" s="13" t="str">
        <f>Tabla3[[#This Row],[SIGLAS]]</f>
        <v>TR3</v>
      </c>
      <c r="Q183" s="13">
        <f>_xlfn.IFNA(VLOOKUP(Tabla3[[#This Row],[Nivel de tension]],NIVEL[#All],2,0),"")</f>
        <v>2</v>
      </c>
      <c r="R183" s="13" t="str">
        <f>_xlfn.IFNA(VLOOKUP(Tabla3[[#This Row],[DISPOSITIVO]],DISPOSITIVO[],2,0),"")</f>
        <v>52_</v>
      </c>
      <c r="S183" s="13" t="str">
        <f>_xlfn.IFNA(VLOOKUP(Tabla3[[#This Row],[PROTECCION SECUNDARIA]],PROTECCION_SECUNDARIA[],2,0),"")</f>
        <v/>
      </c>
      <c r="T183" s="13" t="str">
        <f>_xlfn.IFNA(VLOOKUP(Tabla3[[#This Row],[Que]],QUE[#All],2,0),"")</f>
        <v>EST</v>
      </c>
      <c r="U183" s="13" t="str">
        <f>_xlfn.IFNA(VLOOKUP(Tabla3[[#This Row],[Señal]],SEÑAL[#All],2,0),"")</f>
        <v/>
      </c>
      <c r="V183" s="13" t="str">
        <f>_xlfn.IFNA(VLOOKUP(Tabla3[[#This Row],[NUMERO]],SEÑAL[#All],2,0),"")</f>
        <v/>
      </c>
    </row>
    <row r="184" spans="1:22" x14ac:dyDescent="0.25">
      <c r="A184" s="26" t="s">
        <v>982</v>
      </c>
      <c r="B184" s="2" t="s">
        <v>8</v>
      </c>
      <c r="C184" s="2" t="s">
        <v>89</v>
      </c>
      <c r="D184" s="2" t="s">
        <v>109</v>
      </c>
      <c r="E184" s="2" t="s">
        <v>1381</v>
      </c>
      <c r="F184" s="2" t="s">
        <v>10</v>
      </c>
      <c r="G184" s="2" t="s">
        <v>34</v>
      </c>
      <c r="I184" s="2" t="s">
        <v>438</v>
      </c>
      <c r="J184"/>
      <c r="K184"/>
      <c r="L18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ETVMN.TR3.289_EST</v>
      </c>
      <c r="N184" s="13" t="str">
        <f>VLOOKUP(Tabla3[[#This Row],[Tipo]],TIPO[#All],2,0)</f>
        <v>ET</v>
      </c>
      <c r="O184" s="13" t="str">
        <f>VLOOKUP(Tabla3[[#This Row],[Lugar]],LUGAR[#All],2,0)</f>
        <v>VMN</v>
      </c>
      <c r="P184" s="13" t="str">
        <f>Tabla3[[#This Row],[SIGLAS]]</f>
        <v>TR3</v>
      </c>
      <c r="Q184" s="13">
        <f>_xlfn.IFNA(VLOOKUP(Tabla3[[#This Row],[Nivel de tension]],NIVEL[#All],2,0),"")</f>
        <v>2</v>
      </c>
      <c r="R184" s="13" t="str">
        <f>_xlfn.IFNA(VLOOKUP(Tabla3[[#This Row],[DISPOSITIVO]],DISPOSITIVO[],2,0),"")</f>
        <v>89_</v>
      </c>
      <c r="S184" s="13" t="str">
        <f>_xlfn.IFNA(VLOOKUP(Tabla3[[#This Row],[PROTECCION SECUNDARIA]],PROTECCION_SECUNDARIA[],2,0),"")</f>
        <v/>
      </c>
      <c r="T184" s="13" t="str">
        <f>_xlfn.IFNA(VLOOKUP(Tabla3[[#This Row],[Que]],QUE[#All],2,0),"")</f>
        <v>EST</v>
      </c>
      <c r="U184" s="13" t="str">
        <f>_xlfn.IFNA(VLOOKUP(Tabla3[[#This Row],[Señal]],SEÑAL[#All],2,0),"")</f>
        <v/>
      </c>
      <c r="V184" s="13" t="str">
        <f>_xlfn.IFNA(VLOOKUP(Tabla3[[#This Row],[NUMERO]],SEÑAL[#All],2,0),"")</f>
        <v/>
      </c>
    </row>
    <row r="185" spans="1:22" x14ac:dyDescent="0.25">
      <c r="A185" s="26" t="s">
        <v>983</v>
      </c>
      <c r="B185" s="2" t="s">
        <v>8</v>
      </c>
      <c r="C185" s="2" t="s">
        <v>89</v>
      </c>
      <c r="D185" s="2" t="s">
        <v>109</v>
      </c>
      <c r="E185" s="2" t="s">
        <v>1381</v>
      </c>
      <c r="F185" s="2" t="s">
        <v>10</v>
      </c>
      <c r="G185" s="2" t="s">
        <v>29</v>
      </c>
      <c r="I185" s="2" t="s">
        <v>11</v>
      </c>
      <c r="J185"/>
      <c r="K185"/>
      <c r="L18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ETVMN.TR3.252_CARRO</v>
      </c>
      <c r="N185" s="13" t="str">
        <f>VLOOKUP(Tabla3[[#This Row],[Tipo]],TIPO[#All],2,0)</f>
        <v>ET</v>
      </c>
      <c r="O185" s="13" t="str">
        <f>VLOOKUP(Tabla3[[#This Row],[Lugar]],LUGAR[#All],2,0)</f>
        <v>VMN</v>
      </c>
      <c r="P185" s="13" t="str">
        <f>Tabla3[[#This Row],[SIGLAS]]</f>
        <v>TR3</v>
      </c>
      <c r="Q185" s="13">
        <f>_xlfn.IFNA(VLOOKUP(Tabla3[[#This Row],[Nivel de tension]],NIVEL[#All],2,0),"")</f>
        <v>2</v>
      </c>
      <c r="R185" s="13" t="str">
        <f>_xlfn.IFNA(VLOOKUP(Tabla3[[#This Row],[DISPOSITIVO]],DISPOSITIVO[],2,0),"")</f>
        <v>52_</v>
      </c>
      <c r="S185" s="13" t="str">
        <f>_xlfn.IFNA(VLOOKUP(Tabla3[[#This Row],[PROTECCION SECUNDARIA]],PROTECCION_SECUNDARIA[],2,0),"")</f>
        <v/>
      </c>
      <c r="T185" s="13" t="str">
        <f>_xlfn.IFNA(VLOOKUP(Tabla3[[#This Row],[Que]],QUE[#All],2,0),"")</f>
        <v>CARRO</v>
      </c>
      <c r="U185" s="13" t="str">
        <f>_xlfn.IFNA(VLOOKUP(Tabla3[[#This Row],[Señal]],SEÑAL[#All],2,0),"")</f>
        <v/>
      </c>
      <c r="V185" s="13" t="str">
        <f>_xlfn.IFNA(VLOOKUP(Tabla3[[#This Row],[NUMERO]],SEÑAL[#All],2,0),"")</f>
        <v/>
      </c>
    </row>
    <row r="186" spans="1:22" x14ac:dyDescent="0.25">
      <c r="A186" s="26" t="s">
        <v>984</v>
      </c>
      <c r="B186" s="2" t="s">
        <v>8</v>
      </c>
      <c r="C186" s="2" t="s">
        <v>89</v>
      </c>
      <c r="D186" s="2" t="s">
        <v>109</v>
      </c>
      <c r="E186" s="2" t="s">
        <v>1381</v>
      </c>
      <c r="F186" s="2" t="s">
        <v>10</v>
      </c>
      <c r="I186" s="2" t="s">
        <v>863</v>
      </c>
      <c r="J186"/>
      <c r="K186"/>
      <c r="L18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ETVMN.TR3.2VCDO</v>
      </c>
      <c r="N186" s="13" t="str">
        <f>VLOOKUP(Tabla3[[#This Row],[Tipo]],TIPO[#All],2,0)</f>
        <v>ET</v>
      </c>
      <c r="O186" s="13" t="str">
        <f>VLOOKUP(Tabla3[[#This Row],[Lugar]],LUGAR[#All],2,0)</f>
        <v>VMN</v>
      </c>
      <c r="P186" s="13" t="str">
        <f>Tabla3[[#This Row],[SIGLAS]]</f>
        <v>TR3</v>
      </c>
      <c r="Q186" s="13">
        <f>_xlfn.IFNA(VLOOKUP(Tabla3[[#This Row],[Nivel de tension]],NIVEL[#All],2,0),"")</f>
        <v>2</v>
      </c>
      <c r="R186" s="13" t="str">
        <f>_xlfn.IFNA(VLOOKUP(Tabla3[[#This Row],[DISPOSITIVO]],DISPOSITIVO[],2,0),"")</f>
        <v/>
      </c>
      <c r="S186" s="13" t="str">
        <f>_xlfn.IFNA(VLOOKUP(Tabla3[[#This Row],[PROTECCION SECUNDARIA]],PROTECCION_SECUNDARIA[],2,0),"")</f>
        <v/>
      </c>
      <c r="T186" s="13" t="str">
        <f>_xlfn.IFNA(VLOOKUP(Tabla3[[#This Row],[Que]],QUE[#All],2,0),"")</f>
        <v>VCDO</v>
      </c>
      <c r="U186" s="13" t="str">
        <f>_xlfn.IFNA(VLOOKUP(Tabla3[[#This Row],[Señal]],SEÑAL[#All],2,0),"")</f>
        <v/>
      </c>
      <c r="V186" s="13" t="str">
        <f>_xlfn.IFNA(VLOOKUP(Tabla3[[#This Row],[NUMERO]],SEÑAL[#All],2,0),"")</f>
        <v/>
      </c>
    </row>
    <row r="187" spans="1:22" x14ac:dyDescent="0.25">
      <c r="A187" s="26" t="s">
        <v>985</v>
      </c>
      <c r="B187" s="2" t="s">
        <v>8</v>
      </c>
      <c r="C187" s="2" t="s">
        <v>89</v>
      </c>
      <c r="D187" s="2" t="s">
        <v>109</v>
      </c>
      <c r="E187" s="2" t="s">
        <v>1381</v>
      </c>
      <c r="F187" s="2" t="s">
        <v>10</v>
      </c>
      <c r="I187" s="2" t="s">
        <v>848</v>
      </c>
      <c r="J187"/>
      <c r="K187"/>
      <c r="L18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ETVMN.TR3.2LL</v>
      </c>
      <c r="N187" s="13" t="str">
        <f>VLOOKUP(Tabla3[[#This Row],[Tipo]],TIPO[#All],2,0)</f>
        <v>ET</v>
      </c>
      <c r="O187" s="13" t="str">
        <f>VLOOKUP(Tabla3[[#This Row],[Lugar]],LUGAR[#All],2,0)</f>
        <v>VMN</v>
      </c>
      <c r="P187" s="13" t="str">
        <f>Tabla3[[#This Row],[SIGLAS]]</f>
        <v>TR3</v>
      </c>
      <c r="Q187" s="13">
        <f>_xlfn.IFNA(VLOOKUP(Tabla3[[#This Row],[Nivel de tension]],NIVEL[#All],2,0),"")</f>
        <v>2</v>
      </c>
      <c r="R187" s="13" t="str">
        <f>_xlfn.IFNA(VLOOKUP(Tabla3[[#This Row],[DISPOSITIVO]],DISPOSITIVO[],2,0),"")</f>
        <v/>
      </c>
      <c r="S187" s="13" t="str">
        <f>_xlfn.IFNA(VLOOKUP(Tabla3[[#This Row],[PROTECCION SECUNDARIA]],PROTECCION_SECUNDARIA[],2,0),"")</f>
        <v/>
      </c>
      <c r="T187" s="13" t="str">
        <f>_xlfn.IFNA(VLOOKUP(Tabla3[[#This Row],[Que]],QUE[#All],2,0),"")</f>
        <v>LL</v>
      </c>
      <c r="U187" s="13" t="str">
        <f>_xlfn.IFNA(VLOOKUP(Tabla3[[#This Row],[Señal]],SEÑAL[#All],2,0),"")</f>
        <v/>
      </c>
      <c r="V187" s="13" t="str">
        <f>_xlfn.IFNA(VLOOKUP(Tabla3[[#This Row],[NUMERO]],SEÑAL[#All],2,0),"")</f>
        <v/>
      </c>
    </row>
    <row r="188" spans="1:22" x14ac:dyDescent="0.25">
      <c r="A188" s="26" t="s">
        <v>986</v>
      </c>
      <c r="B188" s="2" t="s">
        <v>8</v>
      </c>
      <c r="C188" s="2" t="s">
        <v>89</v>
      </c>
      <c r="D188" s="2" t="s">
        <v>109</v>
      </c>
      <c r="E188" s="2" t="s">
        <v>1381</v>
      </c>
      <c r="F188" s="2" t="s">
        <v>3</v>
      </c>
      <c r="G188" s="2" t="s">
        <v>29</v>
      </c>
      <c r="I188" s="2" t="s">
        <v>438</v>
      </c>
      <c r="J188"/>
      <c r="K188"/>
      <c r="L18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ETVMN.TR3.152_EST</v>
      </c>
      <c r="N188" s="13" t="str">
        <f>VLOOKUP(Tabla3[[#This Row],[Tipo]],TIPO[#All],2,0)</f>
        <v>ET</v>
      </c>
      <c r="O188" s="13" t="str">
        <f>VLOOKUP(Tabla3[[#This Row],[Lugar]],LUGAR[#All],2,0)</f>
        <v>VMN</v>
      </c>
      <c r="P188" s="13" t="str">
        <f>Tabla3[[#This Row],[SIGLAS]]</f>
        <v>TR3</v>
      </c>
      <c r="Q188" s="13">
        <f>_xlfn.IFNA(VLOOKUP(Tabla3[[#This Row],[Nivel de tension]],NIVEL[#All],2,0),"")</f>
        <v>1</v>
      </c>
      <c r="R188" s="13" t="str">
        <f>_xlfn.IFNA(VLOOKUP(Tabla3[[#This Row],[DISPOSITIVO]],DISPOSITIVO[],2,0),"")</f>
        <v>52_</v>
      </c>
      <c r="S188" s="13" t="str">
        <f>_xlfn.IFNA(VLOOKUP(Tabla3[[#This Row],[PROTECCION SECUNDARIA]],PROTECCION_SECUNDARIA[],2,0),"")</f>
        <v/>
      </c>
      <c r="T188" s="13" t="str">
        <f>_xlfn.IFNA(VLOOKUP(Tabla3[[#This Row],[Que]],QUE[#All],2,0),"")</f>
        <v>EST</v>
      </c>
      <c r="U188" s="13" t="str">
        <f>_xlfn.IFNA(VLOOKUP(Tabla3[[#This Row],[Señal]],SEÑAL[#All],2,0),"")</f>
        <v/>
      </c>
      <c r="V188" s="13" t="str">
        <f>_xlfn.IFNA(VLOOKUP(Tabla3[[#This Row],[NUMERO]],SEÑAL[#All],2,0),"")</f>
        <v/>
      </c>
    </row>
    <row r="189" spans="1:22" x14ac:dyDescent="0.25">
      <c r="A189" s="26" t="s">
        <v>987</v>
      </c>
      <c r="B189" s="2" t="s">
        <v>8</v>
      </c>
      <c r="C189" s="2" t="s">
        <v>89</v>
      </c>
      <c r="D189" s="2" t="s">
        <v>109</v>
      </c>
      <c r="E189" s="2" t="s">
        <v>1381</v>
      </c>
      <c r="F189" s="2" t="s">
        <v>14</v>
      </c>
      <c r="I189" s="2" t="s">
        <v>848</v>
      </c>
      <c r="J189"/>
      <c r="K189"/>
      <c r="L18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ETVMN.TR3.3LL</v>
      </c>
      <c r="N189" s="13" t="str">
        <f>VLOOKUP(Tabla3[[#This Row],[Tipo]],TIPO[#All],2,0)</f>
        <v>ET</v>
      </c>
      <c r="O189" s="13" t="str">
        <f>VLOOKUP(Tabla3[[#This Row],[Lugar]],LUGAR[#All],2,0)</f>
        <v>VMN</v>
      </c>
      <c r="P189" s="13" t="str">
        <f>Tabla3[[#This Row],[SIGLAS]]</f>
        <v>TR3</v>
      </c>
      <c r="Q189" s="13">
        <f>_xlfn.IFNA(VLOOKUP(Tabla3[[#This Row],[Nivel de tension]],NIVEL[#All],2,0),"")</f>
        <v>3</v>
      </c>
      <c r="R189" s="13" t="str">
        <f>_xlfn.IFNA(VLOOKUP(Tabla3[[#This Row],[DISPOSITIVO]],DISPOSITIVO[],2,0),"")</f>
        <v/>
      </c>
      <c r="S189" s="13" t="str">
        <f>_xlfn.IFNA(VLOOKUP(Tabla3[[#This Row],[PROTECCION SECUNDARIA]],PROTECCION_SECUNDARIA[],2,0),"")</f>
        <v/>
      </c>
      <c r="T189" s="13" t="str">
        <f>_xlfn.IFNA(VLOOKUP(Tabla3[[#This Row],[Que]],QUE[#All],2,0),"")</f>
        <v>LL</v>
      </c>
      <c r="U189" s="13" t="str">
        <f>_xlfn.IFNA(VLOOKUP(Tabla3[[#This Row],[Señal]],SEÑAL[#All],2,0),"")</f>
        <v/>
      </c>
      <c r="V189" s="13" t="str">
        <f>_xlfn.IFNA(VLOOKUP(Tabla3[[#This Row],[NUMERO]],SEÑAL[#All],2,0),"")</f>
        <v/>
      </c>
    </row>
    <row r="190" spans="1:22" x14ac:dyDescent="0.25">
      <c r="A190" s="26" t="s">
        <v>988</v>
      </c>
      <c r="B190" s="2" t="s">
        <v>8</v>
      </c>
      <c r="C190" s="2" t="s">
        <v>89</v>
      </c>
      <c r="D190" s="2" t="s">
        <v>109</v>
      </c>
      <c r="E190" s="2" t="s">
        <v>1381</v>
      </c>
      <c r="F190" s="2" t="s">
        <v>3</v>
      </c>
      <c r="I190" s="2" t="s">
        <v>848</v>
      </c>
      <c r="J190"/>
      <c r="K190"/>
      <c r="L19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ETVMN.TR3.1LL</v>
      </c>
      <c r="N190" s="13" t="str">
        <f>VLOOKUP(Tabla3[[#This Row],[Tipo]],TIPO[#All],2,0)</f>
        <v>ET</v>
      </c>
      <c r="O190" s="13" t="str">
        <f>VLOOKUP(Tabla3[[#This Row],[Lugar]],LUGAR[#All],2,0)</f>
        <v>VMN</v>
      </c>
      <c r="P190" s="13" t="str">
        <f>Tabla3[[#This Row],[SIGLAS]]</f>
        <v>TR3</v>
      </c>
      <c r="Q190" s="13">
        <f>_xlfn.IFNA(VLOOKUP(Tabla3[[#This Row],[Nivel de tension]],NIVEL[#All],2,0),"")</f>
        <v>1</v>
      </c>
      <c r="R190" s="13" t="str">
        <f>_xlfn.IFNA(VLOOKUP(Tabla3[[#This Row],[DISPOSITIVO]],DISPOSITIVO[],2,0),"")</f>
        <v/>
      </c>
      <c r="S190" s="13" t="str">
        <f>_xlfn.IFNA(VLOOKUP(Tabla3[[#This Row],[PROTECCION SECUNDARIA]],PROTECCION_SECUNDARIA[],2,0),"")</f>
        <v/>
      </c>
      <c r="T190" s="13" t="str">
        <f>_xlfn.IFNA(VLOOKUP(Tabla3[[#This Row],[Que]],QUE[#All],2,0),"")</f>
        <v>LL</v>
      </c>
      <c r="U190" s="13" t="str">
        <f>_xlfn.IFNA(VLOOKUP(Tabla3[[#This Row],[Señal]],SEÑAL[#All],2,0),"")</f>
        <v/>
      </c>
      <c r="V190" s="13" t="str">
        <f>_xlfn.IFNA(VLOOKUP(Tabla3[[#This Row],[NUMERO]],SEÑAL[#All],2,0),"")</f>
        <v/>
      </c>
    </row>
    <row r="191" spans="1:22" x14ac:dyDescent="0.25">
      <c r="A191" s="26" t="s">
        <v>989</v>
      </c>
      <c r="B191" s="2" t="s">
        <v>8</v>
      </c>
      <c r="C191" s="2" t="s">
        <v>89</v>
      </c>
      <c r="D191" s="2" t="s">
        <v>109</v>
      </c>
      <c r="E191" s="2" t="s">
        <v>1381</v>
      </c>
      <c r="F191" s="2" t="s">
        <v>14</v>
      </c>
      <c r="I191" s="2" t="s">
        <v>863</v>
      </c>
      <c r="J191"/>
      <c r="K191"/>
      <c r="L19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ETVMN.TR3.3VCDO</v>
      </c>
      <c r="N191" s="13" t="str">
        <f>VLOOKUP(Tabla3[[#This Row],[Tipo]],TIPO[#All],2,0)</f>
        <v>ET</v>
      </c>
      <c r="O191" s="13" t="str">
        <f>VLOOKUP(Tabla3[[#This Row],[Lugar]],LUGAR[#All],2,0)</f>
        <v>VMN</v>
      </c>
      <c r="P191" s="13" t="str">
        <f>Tabla3[[#This Row],[SIGLAS]]</f>
        <v>TR3</v>
      </c>
      <c r="Q191" s="13">
        <f>_xlfn.IFNA(VLOOKUP(Tabla3[[#This Row],[Nivel de tension]],NIVEL[#All],2,0),"")</f>
        <v>3</v>
      </c>
      <c r="R191" s="13" t="str">
        <f>_xlfn.IFNA(VLOOKUP(Tabla3[[#This Row],[DISPOSITIVO]],DISPOSITIVO[],2,0),"")</f>
        <v/>
      </c>
      <c r="S191" s="13" t="str">
        <f>_xlfn.IFNA(VLOOKUP(Tabla3[[#This Row],[PROTECCION SECUNDARIA]],PROTECCION_SECUNDARIA[],2,0),"")</f>
        <v/>
      </c>
      <c r="T191" s="13" t="str">
        <f>_xlfn.IFNA(VLOOKUP(Tabla3[[#This Row],[Que]],QUE[#All],2,0),"")</f>
        <v>VCDO</v>
      </c>
      <c r="U191" s="13" t="str">
        <f>_xlfn.IFNA(VLOOKUP(Tabla3[[#This Row],[Señal]],SEÑAL[#All],2,0),"")</f>
        <v/>
      </c>
      <c r="V191" s="13" t="str">
        <f>_xlfn.IFNA(VLOOKUP(Tabla3[[#This Row],[NUMERO]],SEÑAL[#All],2,0),"")</f>
        <v/>
      </c>
    </row>
    <row r="192" spans="1:22" x14ac:dyDescent="0.25">
      <c r="A192" s="26" t="s">
        <v>990</v>
      </c>
      <c r="B192" s="2" t="s">
        <v>8</v>
      </c>
      <c r="C192" s="2" t="s">
        <v>89</v>
      </c>
      <c r="D192" s="2" t="s">
        <v>109</v>
      </c>
      <c r="E192" s="2" t="s">
        <v>1381</v>
      </c>
      <c r="F192" s="2" t="s">
        <v>10</v>
      </c>
      <c r="I192" s="2" t="s">
        <v>500</v>
      </c>
      <c r="J192"/>
      <c r="K192"/>
      <c r="L19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ETVMN.TR3.2VCA</v>
      </c>
      <c r="N192" s="13" t="str">
        <f>VLOOKUP(Tabla3[[#This Row],[Tipo]],TIPO[#All],2,0)</f>
        <v>ET</v>
      </c>
      <c r="O192" s="13" t="str">
        <f>VLOOKUP(Tabla3[[#This Row],[Lugar]],LUGAR[#All],2,0)</f>
        <v>VMN</v>
      </c>
      <c r="P192" s="13" t="str">
        <f>Tabla3[[#This Row],[SIGLAS]]</f>
        <v>TR3</v>
      </c>
      <c r="Q192" s="13">
        <f>_xlfn.IFNA(VLOOKUP(Tabla3[[#This Row],[Nivel de tension]],NIVEL[#All],2,0),"")</f>
        <v>2</v>
      </c>
      <c r="R192" s="13" t="str">
        <f>_xlfn.IFNA(VLOOKUP(Tabla3[[#This Row],[DISPOSITIVO]],DISPOSITIVO[],2,0),"")</f>
        <v/>
      </c>
      <c r="S192" s="13" t="str">
        <f>_xlfn.IFNA(VLOOKUP(Tabla3[[#This Row],[PROTECCION SECUNDARIA]],PROTECCION_SECUNDARIA[],2,0),"")</f>
        <v/>
      </c>
      <c r="T192" s="13" t="str">
        <f>_xlfn.IFNA(VLOOKUP(Tabla3[[#This Row],[Que]],QUE[#All],2,0),"")</f>
        <v>VCA</v>
      </c>
      <c r="U192" s="13" t="str">
        <f>_xlfn.IFNA(VLOOKUP(Tabla3[[#This Row],[Señal]],SEÑAL[#All],2,0),"")</f>
        <v/>
      </c>
      <c r="V192" s="13" t="str">
        <f>_xlfn.IFNA(VLOOKUP(Tabla3[[#This Row],[NUMERO]],SEÑAL[#All],2,0),"")</f>
        <v/>
      </c>
    </row>
    <row r="193" spans="1:22" x14ac:dyDescent="0.25">
      <c r="A193" s="26" t="s">
        <v>991</v>
      </c>
      <c r="B193" s="2" t="s">
        <v>8</v>
      </c>
      <c r="C193" s="2" t="s">
        <v>89</v>
      </c>
      <c r="D193" s="2" t="s">
        <v>109</v>
      </c>
      <c r="E193" s="2" t="s">
        <v>1381</v>
      </c>
      <c r="F193" s="2" t="s">
        <v>3</v>
      </c>
      <c r="I193" s="2" t="s">
        <v>863</v>
      </c>
      <c r="J193"/>
      <c r="K193"/>
      <c r="L19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ETVMN.TR3.1VCDO</v>
      </c>
      <c r="N193" s="13" t="str">
        <f>VLOOKUP(Tabla3[[#This Row],[Tipo]],TIPO[#All],2,0)</f>
        <v>ET</v>
      </c>
      <c r="O193" s="13" t="str">
        <f>VLOOKUP(Tabla3[[#This Row],[Lugar]],LUGAR[#All],2,0)</f>
        <v>VMN</v>
      </c>
      <c r="P193" s="13" t="str">
        <f>Tabla3[[#This Row],[SIGLAS]]</f>
        <v>TR3</v>
      </c>
      <c r="Q193" s="13">
        <f>_xlfn.IFNA(VLOOKUP(Tabla3[[#This Row],[Nivel de tension]],NIVEL[#All],2,0),"")</f>
        <v>1</v>
      </c>
      <c r="R193" s="13" t="str">
        <f>_xlfn.IFNA(VLOOKUP(Tabla3[[#This Row],[DISPOSITIVO]],DISPOSITIVO[],2,0),"")</f>
        <v/>
      </c>
      <c r="S193" s="13" t="str">
        <f>_xlfn.IFNA(VLOOKUP(Tabla3[[#This Row],[PROTECCION SECUNDARIA]],PROTECCION_SECUNDARIA[],2,0),"")</f>
        <v/>
      </c>
      <c r="T193" s="13" t="str">
        <f>_xlfn.IFNA(VLOOKUP(Tabla3[[#This Row],[Que]],QUE[#All],2,0),"")</f>
        <v>VCDO</v>
      </c>
      <c r="U193" s="13" t="str">
        <f>_xlfn.IFNA(VLOOKUP(Tabla3[[#This Row],[Señal]],SEÑAL[#All],2,0),"")</f>
        <v/>
      </c>
      <c r="V193" s="13" t="str">
        <f>_xlfn.IFNA(VLOOKUP(Tabla3[[#This Row],[NUMERO]],SEÑAL[#All],2,0),"")</f>
        <v/>
      </c>
    </row>
    <row r="194" spans="1:22" x14ac:dyDescent="0.25">
      <c r="A194" s="26" t="s">
        <v>992</v>
      </c>
      <c r="B194" s="2" t="s">
        <v>8</v>
      </c>
      <c r="C194" s="2" t="s">
        <v>89</v>
      </c>
      <c r="D194" s="2" t="s">
        <v>109</v>
      </c>
      <c r="E194" s="2" t="s">
        <v>1381</v>
      </c>
      <c r="G194" s="2" t="s">
        <v>358</v>
      </c>
      <c r="I194" s="2" t="s">
        <v>477</v>
      </c>
      <c r="J194"/>
      <c r="K194"/>
      <c r="L19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ETVMN.TR3.87_RELE</v>
      </c>
      <c r="N194" s="13" t="str">
        <f>VLOOKUP(Tabla3[[#This Row],[Tipo]],TIPO[#All],2,0)</f>
        <v>ET</v>
      </c>
      <c r="O194" s="13" t="str">
        <f>VLOOKUP(Tabla3[[#This Row],[Lugar]],LUGAR[#All],2,0)</f>
        <v>VMN</v>
      </c>
      <c r="P194" s="13" t="str">
        <f>Tabla3[[#This Row],[SIGLAS]]</f>
        <v>TR3</v>
      </c>
      <c r="Q194" s="13" t="str">
        <f>_xlfn.IFNA(VLOOKUP(Tabla3[[#This Row],[Nivel de tension]],NIVEL[#All],2,0),"")</f>
        <v/>
      </c>
      <c r="R194" s="13" t="str">
        <f>_xlfn.IFNA(VLOOKUP(Tabla3[[#This Row],[DISPOSITIVO]],DISPOSITIVO[],2,0),"")</f>
        <v>87_</v>
      </c>
      <c r="S194" s="13" t="str">
        <f>_xlfn.IFNA(VLOOKUP(Tabla3[[#This Row],[PROTECCION SECUNDARIA]],PROTECCION_SECUNDARIA[],2,0),"")</f>
        <v/>
      </c>
      <c r="T194" s="13" t="str">
        <f>_xlfn.IFNA(VLOOKUP(Tabla3[[#This Row],[Que]],QUE[#All],2,0),"")</f>
        <v>RELE</v>
      </c>
      <c r="U194" s="13" t="str">
        <f>_xlfn.IFNA(VLOOKUP(Tabla3[[#This Row],[Señal]],SEÑAL[#All],2,0),"")</f>
        <v/>
      </c>
      <c r="V194" s="13" t="str">
        <f>_xlfn.IFNA(VLOOKUP(Tabla3[[#This Row],[NUMERO]],SEÑAL[#All],2,0),"")</f>
        <v/>
      </c>
    </row>
    <row r="195" spans="1:22" x14ac:dyDescent="0.25">
      <c r="A195" s="26" t="s">
        <v>993</v>
      </c>
      <c r="B195" s="2" t="s">
        <v>8</v>
      </c>
      <c r="C195" s="2" t="s">
        <v>89</v>
      </c>
      <c r="D195" s="2" t="s">
        <v>109</v>
      </c>
      <c r="E195" s="2" t="s">
        <v>1381</v>
      </c>
      <c r="G195" s="2" t="s">
        <v>358</v>
      </c>
      <c r="I195" s="2" t="s">
        <v>403</v>
      </c>
      <c r="J195" t="s">
        <v>111</v>
      </c>
      <c r="K195"/>
      <c r="L19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ETVMN.TR3.87_ARGRAL</v>
      </c>
      <c r="N195" s="13" t="str">
        <f>VLOOKUP(Tabla3[[#This Row],[Tipo]],TIPO[#All],2,0)</f>
        <v>ET</v>
      </c>
      <c r="O195" s="13" t="str">
        <f>VLOOKUP(Tabla3[[#This Row],[Lugar]],LUGAR[#All],2,0)</f>
        <v>VMN</v>
      </c>
      <c r="P195" s="13" t="str">
        <f>Tabla3[[#This Row],[SIGLAS]]</f>
        <v>TR3</v>
      </c>
      <c r="Q195" s="13" t="str">
        <f>_xlfn.IFNA(VLOOKUP(Tabla3[[#This Row],[Nivel de tension]],NIVEL[#All],2,0),"")</f>
        <v/>
      </c>
      <c r="R195" s="13" t="str">
        <f>_xlfn.IFNA(VLOOKUP(Tabla3[[#This Row],[DISPOSITIVO]],DISPOSITIVO[],2,0),"")</f>
        <v>87_</v>
      </c>
      <c r="S195" s="13" t="str">
        <f>_xlfn.IFNA(VLOOKUP(Tabla3[[#This Row],[PROTECCION SECUNDARIA]],PROTECCION_SECUNDARIA[],2,0),"")</f>
        <v/>
      </c>
      <c r="T195" s="13" t="str">
        <f>_xlfn.IFNA(VLOOKUP(Tabla3[[#This Row],[Que]],QUE[#All],2,0),"")</f>
        <v>AR</v>
      </c>
      <c r="U195" s="13" t="str">
        <f>_xlfn.IFNA(VLOOKUP(Tabla3[[#This Row],[Señal]],SEÑAL[#All],2,0),"")</f>
        <v>GRAL</v>
      </c>
      <c r="V195" s="13" t="str">
        <f>_xlfn.IFNA(VLOOKUP(Tabla3[[#This Row],[NUMERO]],SEÑAL[#All],2,0),"")</f>
        <v/>
      </c>
    </row>
    <row r="196" spans="1:22" x14ac:dyDescent="0.25">
      <c r="A196" s="26" t="s">
        <v>994</v>
      </c>
      <c r="B196" s="2" t="s">
        <v>8</v>
      </c>
      <c r="C196" s="2" t="s">
        <v>89</v>
      </c>
      <c r="D196" s="2" t="s">
        <v>109</v>
      </c>
      <c r="E196" s="2" t="s">
        <v>1381</v>
      </c>
      <c r="G196" s="2" t="s">
        <v>358</v>
      </c>
      <c r="I196" s="2" t="s">
        <v>434</v>
      </c>
      <c r="J196" t="s">
        <v>111</v>
      </c>
      <c r="K196"/>
      <c r="L19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ETVMN.TR3.87_DIGRAL</v>
      </c>
      <c r="N196" s="13" t="str">
        <f>VLOOKUP(Tabla3[[#This Row],[Tipo]],TIPO[#All],2,0)</f>
        <v>ET</v>
      </c>
      <c r="O196" s="13" t="str">
        <f>VLOOKUP(Tabla3[[#This Row],[Lugar]],LUGAR[#All],2,0)</f>
        <v>VMN</v>
      </c>
      <c r="P196" s="13" t="str">
        <f>Tabla3[[#This Row],[SIGLAS]]</f>
        <v>TR3</v>
      </c>
      <c r="Q196" s="13" t="str">
        <f>_xlfn.IFNA(VLOOKUP(Tabla3[[#This Row],[Nivel de tension]],NIVEL[#All],2,0),"")</f>
        <v/>
      </c>
      <c r="R196" s="13" t="str">
        <f>_xlfn.IFNA(VLOOKUP(Tabla3[[#This Row],[DISPOSITIVO]],DISPOSITIVO[],2,0),"")</f>
        <v>87_</v>
      </c>
      <c r="S196" s="13" t="str">
        <f>_xlfn.IFNA(VLOOKUP(Tabla3[[#This Row],[PROTECCION SECUNDARIA]],PROTECCION_SECUNDARIA[],2,0),"")</f>
        <v/>
      </c>
      <c r="T196" s="13" t="str">
        <f>_xlfn.IFNA(VLOOKUP(Tabla3[[#This Row],[Que]],QUE[#All],2,0),"")</f>
        <v>DI</v>
      </c>
      <c r="U196" s="13" t="str">
        <f>_xlfn.IFNA(VLOOKUP(Tabla3[[#This Row],[Señal]],SEÑAL[#All],2,0),"")</f>
        <v>GRAL</v>
      </c>
      <c r="V196" s="13" t="str">
        <f>_xlfn.IFNA(VLOOKUP(Tabla3[[#This Row],[NUMERO]],SEÑAL[#All],2,0),"")</f>
        <v/>
      </c>
    </row>
    <row r="197" spans="1:22" x14ac:dyDescent="0.25">
      <c r="A197" s="26" t="s">
        <v>995</v>
      </c>
      <c r="B197" s="2" t="s">
        <v>8</v>
      </c>
      <c r="C197" s="2" t="s">
        <v>89</v>
      </c>
      <c r="D197" s="2" t="s">
        <v>109</v>
      </c>
      <c r="E197" s="2" t="s">
        <v>1381</v>
      </c>
      <c r="G197" s="2" t="s">
        <v>358</v>
      </c>
      <c r="I197" s="2" t="s">
        <v>403</v>
      </c>
      <c r="J197"/>
      <c r="K197"/>
      <c r="L19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ETVMN.TR3.87_AR</v>
      </c>
      <c r="N197" s="13" t="str">
        <f>VLOOKUP(Tabla3[[#This Row],[Tipo]],TIPO[#All],2,0)</f>
        <v>ET</v>
      </c>
      <c r="O197" s="13" t="str">
        <f>VLOOKUP(Tabla3[[#This Row],[Lugar]],LUGAR[#All],2,0)</f>
        <v>VMN</v>
      </c>
      <c r="P197" s="13" t="str">
        <f>Tabla3[[#This Row],[SIGLAS]]</f>
        <v>TR3</v>
      </c>
      <c r="Q197" s="13" t="str">
        <f>_xlfn.IFNA(VLOOKUP(Tabla3[[#This Row],[Nivel de tension]],NIVEL[#All],2,0),"")</f>
        <v/>
      </c>
      <c r="R197" s="13" t="str">
        <f>_xlfn.IFNA(VLOOKUP(Tabla3[[#This Row],[DISPOSITIVO]],DISPOSITIVO[],2,0),"")</f>
        <v>87_</v>
      </c>
      <c r="S197" s="13" t="str">
        <f>_xlfn.IFNA(VLOOKUP(Tabla3[[#This Row],[PROTECCION SECUNDARIA]],PROTECCION_SECUNDARIA[],2,0),"")</f>
        <v/>
      </c>
      <c r="T197" s="13" t="str">
        <f>_xlfn.IFNA(VLOOKUP(Tabla3[[#This Row],[Que]],QUE[#All],2,0),"")</f>
        <v>AR</v>
      </c>
      <c r="U197" s="13" t="str">
        <f>_xlfn.IFNA(VLOOKUP(Tabla3[[#This Row],[Señal]],SEÑAL[#All],2,0),"")</f>
        <v/>
      </c>
      <c r="V197" s="13" t="str">
        <f>_xlfn.IFNA(VLOOKUP(Tabla3[[#This Row],[NUMERO]],SEÑAL[#All],2,0),"")</f>
        <v/>
      </c>
    </row>
    <row r="198" spans="1:22" x14ac:dyDescent="0.25">
      <c r="A198" s="26" t="s">
        <v>996</v>
      </c>
      <c r="B198" s="2" t="s">
        <v>8</v>
      </c>
      <c r="C198" s="2" t="s">
        <v>89</v>
      </c>
      <c r="D198" s="2" t="s">
        <v>109</v>
      </c>
      <c r="E198" s="2" t="s">
        <v>1381</v>
      </c>
      <c r="G198" s="2" t="s">
        <v>358</v>
      </c>
      <c r="I198" s="2" t="s">
        <v>434</v>
      </c>
      <c r="J198"/>
      <c r="K198"/>
      <c r="L19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</v>
      </c>
      <c r="N198" s="13" t="str">
        <f>VLOOKUP(Tabla3[[#This Row],[Tipo]],TIPO[#All],2,0)</f>
        <v>ET</v>
      </c>
      <c r="O198" s="13" t="str">
        <f>VLOOKUP(Tabla3[[#This Row],[Lugar]],LUGAR[#All],2,0)</f>
        <v>VMN</v>
      </c>
      <c r="P198" s="13" t="str">
        <f>Tabla3[[#This Row],[SIGLAS]]</f>
        <v>TR3</v>
      </c>
      <c r="Q198" s="13" t="str">
        <f>_xlfn.IFNA(VLOOKUP(Tabla3[[#This Row],[Nivel de tension]],NIVEL[#All],2,0),"")</f>
        <v/>
      </c>
      <c r="R198" s="13" t="str">
        <f>_xlfn.IFNA(VLOOKUP(Tabla3[[#This Row],[DISPOSITIVO]],DISPOSITIVO[],2,0),"")</f>
        <v>87_</v>
      </c>
      <c r="S198" s="13" t="str">
        <f>_xlfn.IFNA(VLOOKUP(Tabla3[[#This Row],[PROTECCION SECUNDARIA]],PROTECCION_SECUNDARIA[],2,0),"")</f>
        <v/>
      </c>
      <c r="T198" s="13" t="str">
        <f>_xlfn.IFNA(VLOOKUP(Tabla3[[#This Row],[Que]],QUE[#All],2,0),"")</f>
        <v>DI</v>
      </c>
      <c r="U198" s="13" t="str">
        <f>_xlfn.IFNA(VLOOKUP(Tabla3[[#This Row],[Señal]],SEÑAL[#All],2,0),"")</f>
        <v/>
      </c>
      <c r="V198" s="13" t="str">
        <f>_xlfn.IFNA(VLOOKUP(Tabla3[[#This Row],[NUMERO]],SEÑAL[#All],2,0),"")</f>
        <v/>
      </c>
    </row>
    <row r="199" spans="1:22" x14ac:dyDescent="0.25">
      <c r="A199" s="26" t="s">
        <v>997</v>
      </c>
      <c r="B199" s="2" t="s">
        <v>8</v>
      </c>
      <c r="C199" s="2" t="s">
        <v>89</v>
      </c>
      <c r="D199" s="2" t="s">
        <v>109</v>
      </c>
      <c r="E199" s="2" t="s">
        <v>1381</v>
      </c>
      <c r="G199" s="2" t="s">
        <v>358</v>
      </c>
      <c r="I199" s="2" t="s">
        <v>434</v>
      </c>
      <c r="J199" t="s">
        <v>611</v>
      </c>
      <c r="K199"/>
      <c r="L19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ETVMN.TR3.87_DI_R</v>
      </c>
      <c r="N199" s="13" t="str">
        <f>VLOOKUP(Tabla3[[#This Row],[Tipo]],TIPO[#All],2,0)</f>
        <v>ET</v>
      </c>
      <c r="O199" s="13" t="str">
        <f>VLOOKUP(Tabla3[[#This Row],[Lugar]],LUGAR[#All],2,0)</f>
        <v>VMN</v>
      </c>
      <c r="P199" s="13" t="str">
        <f>Tabla3[[#This Row],[SIGLAS]]</f>
        <v>TR3</v>
      </c>
      <c r="Q199" s="13" t="str">
        <f>_xlfn.IFNA(VLOOKUP(Tabla3[[#This Row],[Nivel de tension]],NIVEL[#All],2,0),"")</f>
        <v/>
      </c>
      <c r="R199" s="13" t="str">
        <f>_xlfn.IFNA(VLOOKUP(Tabla3[[#This Row],[DISPOSITIVO]],DISPOSITIVO[],2,0),"")</f>
        <v>87_</v>
      </c>
      <c r="S199" s="13" t="str">
        <f>_xlfn.IFNA(VLOOKUP(Tabla3[[#This Row],[PROTECCION SECUNDARIA]],PROTECCION_SECUNDARIA[],2,0),"")</f>
        <v/>
      </c>
      <c r="T199" s="13" t="str">
        <f>_xlfn.IFNA(VLOOKUP(Tabla3[[#This Row],[Que]],QUE[#All],2,0),"")</f>
        <v>DI</v>
      </c>
      <c r="U199" s="13" t="str">
        <f>_xlfn.IFNA(VLOOKUP(Tabla3[[#This Row],[Señal]],SEÑAL[#All],2,0),"")</f>
        <v>_R</v>
      </c>
      <c r="V199" s="13" t="str">
        <f>_xlfn.IFNA(VLOOKUP(Tabla3[[#This Row],[NUMERO]],SEÑAL[#All],2,0),"")</f>
        <v/>
      </c>
    </row>
    <row r="200" spans="1:22" x14ac:dyDescent="0.25">
      <c r="A200" s="26" t="s">
        <v>998</v>
      </c>
      <c r="B200" s="2" t="s">
        <v>8</v>
      </c>
      <c r="C200" s="2" t="s">
        <v>89</v>
      </c>
      <c r="D200" s="2" t="s">
        <v>109</v>
      </c>
      <c r="E200" s="2" t="s">
        <v>1381</v>
      </c>
      <c r="G200" s="2" t="s">
        <v>358</v>
      </c>
      <c r="I200" s="2" t="s">
        <v>434</v>
      </c>
      <c r="J200" t="s">
        <v>634</v>
      </c>
      <c r="K200"/>
      <c r="L20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ETVMN.TR3.87_DI_S</v>
      </c>
      <c r="N200" s="13" t="str">
        <f>VLOOKUP(Tabla3[[#This Row],[Tipo]],TIPO[#All],2,0)</f>
        <v>ET</v>
      </c>
      <c r="O200" s="13" t="str">
        <f>VLOOKUP(Tabla3[[#This Row],[Lugar]],LUGAR[#All],2,0)</f>
        <v>VMN</v>
      </c>
      <c r="P200" s="13" t="str">
        <f>Tabla3[[#This Row],[SIGLAS]]</f>
        <v>TR3</v>
      </c>
      <c r="Q200" s="13" t="str">
        <f>_xlfn.IFNA(VLOOKUP(Tabla3[[#This Row],[Nivel de tension]],NIVEL[#All],2,0),"")</f>
        <v/>
      </c>
      <c r="R200" s="13" t="str">
        <f>_xlfn.IFNA(VLOOKUP(Tabla3[[#This Row],[DISPOSITIVO]],DISPOSITIVO[],2,0),"")</f>
        <v>87_</v>
      </c>
      <c r="S200" s="13" t="str">
        <f>_xlfn.IFNA(VLOOKUP(Tabla3[[#This Row],[PROTECCION SECUNDARIA]],PROTECCION_SECUNDARIA[],2,0),"")</f>
        <v/>
      </c>
      <c r="T200" s="13" t="str">
        <f>_xlfn.IFNA(VLOOKUP(Tabla3[[#This Row],[Que]],QUE[#All],2,0),"")</f>
        <v>DI</v>
      </c>
      <c r="U200" s="13" t="str">
        <f>_xlfn.IFNA(VLOOKUP(Tabla3[[#This Row],[Señal]],SEÑAL[#All],2,0),"")</f>
        <v>_S</v>
      </c>
      <c r="V200" s="13" t="str">
        <f>_xlfn.IFNA(VLOOKUP(Tabla3[[#This Row],[NUMERO]],SEÑAL[#All],2,0),"")</f>
        <v/>
      </c>
    </row>
    <row r="201" spans="1:22" x14ac:dyDescent="0.25">
      <c r="A201" s="26" t="s">
        <v>999</v>
      </c>
      <c r="B201" s="2" t="s">
        <v>8</v>
      </c>
      <c r="C201" s="2" t="s">
        <v>89</v>
      </c>
      <c r="D201" s="2" t="s">
        <v>109</v>
      </c>
      <c r="E201" s="2" t="s">
        <v>1381</v>
      </c>
      <c r="G201" s="2" t="s">
        <v>358</v>
      </c>
      <c r="I201" s="2" t="s">
        <v>434</v>
      </c>
      <c r="J201" t="s">
        <v>647</v>
      </c>
      <c r="K201"/>
      <c r="L20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ETVMN.TR3.87_DI_T</v>
      </c>
      <c r="N201" s="13" t="str">
        <f>VLOOKUP(Tabla3[[#This Row],[Tipo]],TIPO[#All],2,0)</f>
        <v>ET</v>
      </c>
      <c r="O201" s="13" t="str">
        <f>VLOOKUP(Tabla3[[#This Row],[Lugar]],LUGAR[#All],2,0)</f>
        <v>VMN</v>
      </c>
      <c r="P201" s="13" t="str">
        <f>Tabla3[[#This Row],[SIGLAS]]</f>
        <v>TR3</v>
      </c>
      <c r="Q201" s="13" t="str">
        <f>_xlfn.IFNA(VLOOKUP(Tabla3[[#This Row],[Nivel de tension]],NIVEL[#All],2,0),"")</f>
        <v/>
      </c>
      <c r="R201" s="13" t="str">
        <f>_xlfn.IFNA(VLOOKUP(Tabla3[[#This Row],[DISPOSITIVO]],DISPOSITIVO[],2,0),"")</f>
        <v>87_</v>
      </c>
      <c r="S201" s="13" t="str">
        <f>_xlfn.IFNA(VLOOKUP(Tabla3[[#This Row],[PROTECCION SECUNDARIA]],PROTECCION_SECUNDARIA[],2,0),"")</f>
        <v/>
      </c>
      <c r="T201" s="13" t="str">
        <f>_xlfn.IFNA(VLOOKUP(Tabla3[[#This Row],[Que]],QUE[#All],2,0),"")</f>
        <v>DI</v>
      </c>
      <c r="U201" s="13" t="str">
        <f>_xlfn.IFNA(VLOOKUP(Tabla3[[#This Row],[Señal]],SEÑAL[#All],2,0),"")</f>
        <v>_T</v>
      </c>
      <c r="V201" s="13" t="str">
        <f>_xlfn.IFNA(VLOOKUP(Tabla3[[#This Row],[NUMERO]],SEÑAL[#All],2,0),"")</f>
        <v/>
      </c>
    </row>
    <row r="202" spans="1:22" x14ac:dyDescent="0.25">
      <c r="A202" s="26" t="s">
        <v>1000</v>
      </c>
      <c r="B202" s="2" t="s">
        <v>8</v>
      </c>
      <c r="C202" s="2" t="s">
        <v>89</v>
      </c>
      <c r="D202" s="2" t="s">
        <v>109</v>
      </c>
      <c r="E202" s="2" t="s">
        <v>1381</v>
      </c>
      <c r="G202" s="2" t="s">
        <v>1417</v>
      </c>
      <c r="H202" s="2" t="s">
        <v>1386</v>
      </c>
      <c r="I202" s="2" t="s">
        <v>434</v>
      </c>
      <c r="J202"/>
      <c r="K202"/>
      <c r="L20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ETVMN.TR3.87-51_DI</v>
      </c>
      <c r="N202" s="13" t="str">
        <f>VLOOKUP(Tabla3[[#This Row],[Tipo]],TIPO[#All],2,0)</f>
        <v>ET</v>
      </c>
      <c r="O202" s="13" t="str">
        <f>VLOOKUP(Tabla3[[#This Row],[Lugar]],LUGAR[#All],2,0)</f>
        <v>VMN</v>
      </c>
      <c r="P202" s="13" t="str">
        <f>Tabla3[[#This Row],[SIGLAS]]</f>
        <v>TR3</v>
      </c>
      <c r="Q202" s="13" t="str">
        <f>_xlfn.IFNA(VLOOKUP(Tabla3[[#This Row],[Nivel de tension]],NIVEL[#All],2,0),"")</f>
        <v/>
      </c>
      <c r="R202" s="13" t="str">
        <f>_xlfn.IFNA(VLOOKUP(Tabla3[[#This Row],[DISPOSITIVO]],DISPOSITIVO[],2,0),"")</f>
        <v>87-</v>
      </c>
      <c r="S202" s="13" t="str">
        <f>_xlfn.IFNA(VLOOKUP(Tabla3[[#This Row],[PROTECCION SECUNDARIA]],PROTECCION_SECUNDARIA[],2,0),"")</f>
        <v>51_</v>
      </c>
      <c r="T202" s="13" t="str">
        <f>_xlfn.IFNA(VLOOKUP(Tabla3[[#This Row],[Que]],QUE[#All],2,0),"")</f>
        <v>DI</v>
      </c>
      <c r="U202" s="13" t="str">
        <f>_xlfn.IFNA(VLOOKUP(Tabla3[[#This Row],[Señal]],SEÑAL[#All],2,0),"")</f>
        <v/>
      </c>
      <c r="V202" s="13" t="str">
        <f>_xlfn.IFNA(VLOOKUP(Tabla3[[#This Row],[NUMERO]],SEÑAL[#All],2,0),"")</f>
        <v/>
      </c>
    </row>
    <row r="203" spans="1:22" x14ac:dyDescent="0.25">
      <c r="A203" s="26" t="s">
        <v>1001</v>
      </c>
      <c r="B203" s="2" t="s">
        <v>8</v>
      </c>
      <c r="C203" s="2" t="s">
        <v>89</v>
      </c>
      <c r="D203" s="2" t="s">
        <v>109</v>
      </c>
      <c r="E203" s="2" t="s">
        <v>1381</v>
      </c>
      <c r="G203" s="2" t="s">
        <v>1417</v>
      </c>
      <c r="H203" s="2" t="s">
        <v>1385</v>
      </c>
      <c r="I203" s="2" t="s">
        <v>434</v>
      </c>
      <c r="J203"/>
      <c r="K203"/>
      <c r="L20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ETVMN.TR3.87-50_DI</v>
      </c>
      <c r="N203" s="13" t="str">
        <f>VLOOKUP(Tabla3[[#This Row],[Tipo]],TIPO[#All],2,0)</f>
        <v>ET</v>
      </c>
      <c r="O203" s="13" t="str">
        <f>VLOOKUP(Tabla3[[#This Row],[Lugar]],LUGAR[#All],2,0)</f>
        <v>VMN</v>
      </c>
      <c r="P203" s="13" t="str">
        <f>Tabla3[[#This Row],[SIGLAS]]</f>
        <v>TR3</v>
      </c>
      <c r="Q203" s="13" t="str">
        <f>_xlfn.IFNA(VLOOKUP(Tabla3[[#This Row],[Nivel de tension]],NIVEL[#All],2,0),"")</f>
        <v/>
      </c>
      <c r="R203" s="13" t="str">
        <f>_xlfn.IFNA(VLOOKUP(Tabla3[[#This Row],[DISPOSITIVO]],DISPOSITIVO[],2,0),"")</f>
        <v>87-</v>
      </c>
      <c r="S203" s="13" t="str">
        <f>_xlfn.IFNA(VLOOKUP(Tabla3[[#This Row],[PROTECCION SECUNDARIA]],PROTECCION_SECUNDARIA[],2,0),"")</f>
        <v>50_</v>
      </c>
      <c r="T203" s="13" t="str">
        <f>_xlfn.IFNA(VLOOKUP(Tabla3[[#This Row],[Que]],QUE[#All],2,0),"")</f>
        <v>DI</v>
      </c>
      <c r="U203" s="13" t="str">
        <f>_xlfn.IFNA(VLOOKUP(Tabla3[[#This Row],[Señal]],SEÑAL[#All],2,0),"")</f>
        <v/>
      </c>
      <c r="V203" s="13" t="str">
        <f>_xlfn.IFNA(VLOOKUP(Tabla3[[#This Row],[NUMERO]],SEÑAL[#All],2,0),"")</f>
        <v/>
      </c>
    </row>
    <row r="204" spans="1:22" x14ac:dyDescent="0.25">
      <c r="A204" s="26" t="s">
        <v>1002</v>
      </c>
      <c r="B204" s="2" t="s">
        <v>8</v>
      </c>
      <c r="C204" s="2" t="s">
        <v>89</v>
      </c>
      <c r="D204" s="2" t="s">
        <v>109</v>
      </c>
      <c r="E204" s="2" t="s">
        <v>1381</v>
      </c>
      <c r="G204" s="2" t="s">
        <v>1417</v>
      </c>
      <c r="H204" s="2" t="s">
        <v>1407</v>
      </c>
      <c r="I204" s="2" t="s">
        <v>403</v>
      </c>
      <c r="J204"/>
      <c r="K204"/>
      <c r="L20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ETVMN.TR3.87-5051_AR</v>
      </c>
      <c r="N204" s="13" t="str">
        <f>VLOOKUP(Tabla3[[#This Row],[Tipo]],TIPO[#All],2,0)</f>
        <v>ET</v>
      </c>
      <c r="O204" s="13" t="str">
        <f>VLOOKUP(Tabla3[[#This Row],[Lugar]],LUGAR[#All],2,0)</f>
        <v>VMN</v>
      </c>
      <c r="P204" s="13" t="str">
        <f>Tabla3[[#This Row],[SIGLAS]]</f>
        <v>TR3</v>
      </c>
      <c r="Q204" s="13" t="str">
        <f>_xlfn.IFNA(VLOOKUP(Tabla3[[#This Row],[Nivel de tension]],NIVEL[#All],2,0),"")</f>
        <v/>
      </c>
      <c r="R204" s="13" t="str">
        <f>_xlfn.IFNA(VLOOKUP(Tabla3[[#This Row],[DISPOSITIVO]],DISPOSITIVO[],2,0),"")</f>
        <v>87-</v>
      </c>
      <c r="S204" s="13" t="str">
        <f>_xlfn.IFNA(VLOOKUP(Tabla3[[#This Row],[PROTECCION SECUNDARIA]],PROTECCION_SECUNDARIA[],2,0),"")</f>
        <v>5051_</v>
      </c>
      <c r="T204" s="13" t="str">
        <f>_xlfn.IFNA(VLOOKUP(Tabla3[[#This Row],[Que]],QUE[#All],2,0),"")</f>
        <v>AR</v>
      </c>
      <c r="U204" s="13" t="str">
        <f>_xlfn.IFNA(VLOOKUP(Tabla3[[#This Row],[Señal]],SEÑAL[#All],2,0),"")</f>
        <v/>
      </c>
      <c r="V204" s="13" t="str">
        <f>_xlfn.IFNA(VLOOKUP(Tabla3[[#This Row],[NUMERO]],SEÑAL[#All],2,0),"")</f>
        <v/>
      </c>
    </row>
    <row r="205" spans="1:22" x14ac:dyDescent="0.25">
      <c r="A205" s="26" t="s">
        <v>1003</v>
      </c>
      <c r="B205" s="2" t="s">
        <v>8</v>
      </c>
      <c r="C205" s="2" t="s">
        <v>89</v>
      </c>
      <c r="D205" s="2" t="s">
        <v>109</v>
      </c>
      <c r="E205" s="2" t="s">
        <v>1381</v>
      </c>
      <c r="G205" s="2" t="s">
        <v>1417</v>
      </c>
      <c r="H205" s="2" t="s">
        <v>1407</v>
      </c>
      <c r="I205" s="2" t="s">
        <v>434</v>
      </c>
      <c r="J205"/>
      <c r="K205"/>
      <c r="L20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ETVMN.TR3.87-5051_DI</v>
      </c>
      <c r="N205" s="13" t="str">
        <f>VLOOKUP(Tabla3[[#This Row],[Tipo]],TIPO[#All],2,0)</f>
        <v>ET</v>
      </c>
      <c r="O205" s="13" t="str">
        <f>VLOOKUP(Tabla3[[#This Row],[Lugar]],LUGAR[#All],2,0)</f>
        <v>VMN</v>
      </c>
      <c r="P205" s="13" t="str">
        <f>Tabla3[[#This Row],[SIGLAS]]</f>
        <v>TR3</v>
      </c>
      <c r="Q205" s="13" t="str">
        <f>_xlfn.IFNA(VLOOKUP(Tabla3[[#This Row],[Nivel de tension]],NIVEL[#All],2,0),"")</f>
        <v/>
      </c>
      <c r="R205" s="13" t="str">
        <f>_xlfn.IFNA(VLOOKUP(Tabla3[[#This Row],[DISPOSITIVO]],DISPOSITIVO[],2,0),"")</f>
        <v>87-</v>
      </c>
      <c r="S205" s="13" t="str">
        <f>_xlfn.IFNA(VLOOKUP(Tabla3[[#This Row],[PROTECCION SECUNDARIA]],PROTECCION_SECUNDARIA[],2,0),"")</f>
        <v>5051_</v>
      </c>
      <c r="T205" s="13" t="str">
        <f>_xlfn.IFNA(VLOOKUP(Tabla3[[#This Row],[Que]],QUE[#All],2,0),"")</f>
        <v>DI</v>
      </c>
      <c r="U205" s="13" t="str">
        <f>_xlfn.IFNA(VLOOKUP(Tabla3[[#This Row],[Señal]],SEÑAL[#All],2,0),"")</f>
        <v/>
      </c>
      <c r="V205" s="13" t="str">
        <f>_xlfn.IFNA(VLOOKUP(Tabla3[[#This Row],[NUMERO]],SEÑAL[#All],2,0),"")</f>
        <v/>
      </c>
    </row>
    <row r="206" spans="1:22" x14ac:dyDescent="0.25">
      <c r="A206" s="26" t="s">
        <v>1004</v>
      </c>
      <c r="B206" s="2" t="s">
        <v>8</v>
      </c>
      <c r="C206" s="2" t="s">
        <v>89</v>
      </c>
      <c r="D206" s="2" t="s">
        <v>109</v>
      </c>
      <c r="E206" s="2" t="s">
        <v>1381</v>
      </c>
      <c r="G206" s="2" t="s">
        <v>1417</v>
      </c>
      <c r="H206" s="2" t="s">
        <v>1386</v>
      </c>
      <c r="I206" s="2" t="s">
        <v>403</v>
      </c>
      <c r="J206" t="s">
        <v>611</v>
      </c>
      <c r="K206"/>
      <c r="L20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ETVMN.TR3.87-51_AR_R</v>
      </c>
      <c r="N206" s="13" t="str">
        <f>VLOOKUP(Tabla3[[#This Row],[Tipo]],TIPO[#All],2,0)</f>
        <v>ET</v>
      </c>
      <c r="O206" s="13" t="str">
        <f>VLOOKUP(Tabla3[[#This Row],[Lugar]],LUGAR[#All],2,0)</f>
        <v>VMN</v>
      </c>
      <c r="P206" s="13" t="str">
        <f>Tabla3[[#This Row],[SIGLAS]]</f>
        <v>TR3</v>
      </c>
      <c r="Q206" s="13" t="str">
        <f>_xlfn.IFNA(VLOOKUP(Tabla3[[#This Row],[Nivel de tension]],NIVEL[#All],2,0),"")</f>
        <v/>
      </c>
      <c r="R206" s="13" t="str">
        <f>_xlfn.IFNA(VLOOKUP(Tabla3[[#This Row],[DISPOSITIVO]],DISPOSITIVO[],2,0),"")</f>
        <v>87-</v>
      </c>
      <c r="S206" s="13" t="str">
        <f>_xlfn.IFNA(VLOOKUP(Tabla3[[#This Row],[PROTECCION SECUNDARIA]],PROTECCION_SECUNDARIA[],2,0),"")</f>
        <v>51_</v>
      </c>
      <c r="T206" s="13" t="str">
        <f>_xlfn.IFNA(VLOOKUP(Tabla3[[#This Row],[Que]],QUE[#All],2,0),"")</f>
        <v>AR</v>
      </c>
      <c r="U206" s="13" t="str">
        <f>_xlfn.IFNA(VLOOKUP(Tabla3[[#This Row],[Señal]],SEÑAL[#All],2,0),"")</f>
        <v>_R</v>
      </c>
      <c r="V206" s="13" t="str">
        <f>_xlfn.IFNA(VLOOKUP(Tabla3[[#This Row],[NUMERO]],SEÑAL[#All],2,0),"")</f>
        <v/>
      </c>
    </row>
    <row r="207" spans="1:22" x14ac:dyDescent="0.25">
      <c r="A207" s="26" t="s">
        <v>1005</v>
      </c>
      <c r="B207" s="2" t="s">
        <v>8</v>
      </c>
      <c r="C207" s="2" t="s">
        <v>89</v>
      </c>
      <c r="D207" s="2" t="s">
        <v>109</v>
      </c>
      <c r="E207" s="2" t="s">
        <v>1381</v>
      </c>
      <c r="G207" s="2" t="s">
        <v>1417</v>
      </c>
      <c r="H207" s="2" t="s">
        <v>1386</v>
      </c>
      <c r="I207" s="2" t="s">
        <v>403</v>
      </c>
      <c r="J207" t="s">
        <v>634</v>
      </c>
      <c r="K207"/>
      <c r="L20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ETVMN.TR3.87-51_AR_S</v>
      </c>
      <c r="N207" s="13" t="str">
        <f>VLOOKUP(Tabla3[[#This Row],[Tipo]],TIPO[#All],2,0)</f>
        <v>ET</v>
      </c>
      <c r="O207" s="13" t="str">
        <f>VLOOKUP(Tabla3[[#This Row],[Lugar]],LUGAR[#All],2,0)</f>
        <v>VMN</v>
      </c>
      <c r="P207" s="13" t="str">
        <f>Tabla3[[#This Row],[SIGLAS]]</f>
        <v>TR3</v>
      </c>
      <c r="Q207" s="13" t="str">
        <f>_xlfn.IFNA(VLOOKUP(Tabla3[[#This Row],[Nivel de tension]],NIVEL[#All],2,0),"")</f>
        <v/>
      </c>
      <c r="R207" s="13" t="str">
        <f>_xlfn.IFNA(VLOOKUP(Tabla3[[#This Row],[DISPOSITIVO]],DISPOSITIVO[],2,0),"")</f>
        <v>87-</v>
      </c>
      <c r="S207" s="13" t="str">
        <f>_xlfn.IFNA(VLOOKUP(Tabla3[[#This Row],[PROTECCION SECUNDARIA]],PROTECCION_SECUNDARIA[],2,0),"")</f>
        <v>51_</v>
      </c>
      <c r="T207" s="13" t="str">
        <f>_xlfn.IFNA(VLOOKUP(Tabla3[[#This Row],[Que]],QUE[#All],2,0),"")</f>
        <v>AR</v>
      </c>
      <c r="U207" s="13" t="str">
        <f>_xlfn.IFNA(VLOOKUP(Tabla3[[#This Row],[Señal]],SEÑAL[#All],2,0),"")</f>
        <v>_S</v>
      </c>
      <c r="V207" s="13" t="str">
        <f>_xlfn.IFNA(VLOOKUP(Tabla3[[#This Row],[NUMERO]],SEÑAL[#All],2,0),"")</f>
        <v/>
      </c>
    </row>
    <row r="208" spans="1:22" x14ac:dyDescent="0.25">
      <c r="A208" s="26" t="s">
        <v>1006</v>
      </c>
      <c r="B208" s="2" t="s">
        <v>8</v>
      </c>
      <c r="C208" s="2" t="s">
        <v>89</v>
      </c>
      <c r="D208" s="2" t="s">
        <v>109</v>
      </c>
      <c r="E208" s="2" t="s">
        <v>1381</v>
      </c>
      <c r="G208" s="2" t="s">
        <v>1417</v>
      </c>
      <c r="H208" s="2" t="s">
        <v>1386</v>
      </c>
      <c r="I208" s="2" t="s">
        <v>403</v>
      </c>
      <c r="J208" t="s">
        <v>647</v>
      </c>
      <c r="K208"/>
      <c r="L20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ETVMN.TR3.87-51_AR_T</v>
      </c>
      <c r="N208" s="13" t="str">
        <f>VLOOKUP(Tabla3[[#This Row],[Tipo]],TIPO[#All],2,0)</f>
        <v>ET</v>
      </c>
      <c r="O208" s="13" t="str">
        <f>VLOOKUP(Tabla3[[#This Row],[Lugar]],LUGAR[#All],2,0)</f>
        <v>VMN</v>
      </c>
      <c r="P208" s="13" t="str">
        <f>Tabla3[[#This Row],[SIGLAS]]</f>
        <v>TR3</v>
      </c>
      <c r="Q208" s="13" t="str">
        <f>_xlfn.IFNA(VLOOKUP(Tabla3[[#This Row],[Nivel de tension]],NIVEL[#All],2,0),"")</f>
        <v/>
      </c>
      <c r="R208" s="13" t="str">
        <f>_xlfn.IFNA(VLOOKUP(Tabla3[[#This Row],[DISPOSITIVO]],DISPOSITIVO[],2,0),"")</f>
        <v>87-</v>
      </c>
      <c r="S208" s="13" t="str">
        <f>_xlfn.IFNA(VLOOKUP(Tabla3[[#This Row],[PROTECCION SECUNDARIA]],PROTECCION_SECUNDARIA[],2,0),"")</f>
        <v>51_</v>
      </c>
      <c r="T208" s="13" t="str">
        <f>_xlfn.IFNA(VLOOKUP(Tabla3[[#This Row],[Que]],QUE[#All],2,0),"")</f>
        <v>AR</v>
      </c>
      <c r="U208" s="13" t="str">
        <f>_xlfn.IFNA(VLOOKUP(Tabla3[[#This Row],[Señal]],SEÑAL[#All],2,0),"")</f>
        <v>_T</v>
      </c>
      <c r="V208" s="13" t="str">
        <f>_xlfn.IFNA(VLOOKUP(Tabla3[[#This Row],[NUMERO]],SEÑAL[#All],2,0),"")</f>
        <v/>
      </c>
    </row>
    <row r="209" spans="1:22" x14ac:dyDescent="0.25">
      <c r="A209" s="26" t="s">
        <v>1007</v>
      </c>
      <c r="B209" s="2" t="s">
        <v>8</v>
      </c>
      <c r="C209" s="2" t="s">
        <v>89</v>
      </c>
      <c r="D209" s="2" t="s">
        <v>109</v>
      </c>
      <c r="E209" s="2" t="s">
        <v>1381</v>
      </c>
      <c r="G209" s="2" t="s">
        <v>1417</v>
      </c>
      <c r="H209" s="2" t="s">
        <v>1385</v>
      </c>
      <c r="I209" s="2" t="s">
        <v>434</v>
      </c>
      <c r="J209"/>
      <c r="K209"/>
      <c r="L20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ETVMN.TR3.87-50_DI</v>
      </c>
      <c r="N209" s="13" t="str">
        <f>VLOOKUP(Tabla3[[#This Row],[Tipo]],TIPO[#All],2,0)</f>
        <v>ET</v>
      </c>
      <c r="O209" s="13" t="str">
        <f>VLOOKUP(Tabla3[[#This Row],[Lugar]],LUGAR[#All],2,0)</f>
        <v>VMN</v>
      </c>
      <c r="P209" s="13" t="str">
        <f>Tabla3[[#This Row],[SIGLAS]]</f>
        <v>TR3</v>
      </c>
      <c r="Q209" s="13" t="str">
        <f>_xlfn.IFNA(VLOOKUP(Tabla3[[#This Row],[Nivel de tension]],NIVEL[#All],2,0),"")</f>
        <v/>
      </c>
      <c r="R209" s="13" t="str">
        <f>_xlfn.IFNA(VLOOKUP(Tabla3[[#This Row],[DISPOSITIVO]],DISPOSITIVO[],2,0),"")</f>
        <v>87-</v>
      </c>
      <c r="S209" s="13" t="str">
        <f>_xlfn.IFNA(VLOOKUP(Tabla3[[#This Row],[PROTECCION SECUNDARIA]],PROTECCION_SECUNDARIA[],2,0),"")</f>
        <v>50_</v>
      </c>
      <c r="T209" s="13" t="str">
        <f>_xlfn.IFNA(VLOOKUP(Tabla3[[#This Row],[Que]],QUE[#All],2,0),"")</f>
        <v>DI</v>
      </c>
      <c r="U209" s="13" t="str">
        <f>_xlfn.IFNA(VLOOKUP(Tabla3[[#This Row],[Señal]],SEÑAL[#All],2,0),"")</f>
        <v/>
      </c>
      <c r="V209" s="13" t="str">
        <f>_xlfn.IFNA(VLOOKUP(Tabla3[[#This Row],[NUMERO]],SEÑAL[#All],2,0),"")</f>
        <v/>
      </c>
    </row>
    <row r="210" spans="1:22" x14ac:dyDescent="0.25">
      <c r="A210" s="26" t="s">
        <v>1008</v>
      </c>
      <c r="B210" s="2" t="s">
        <v>8</v>
      </c>
      <c r="C210" s="2" t="s">
        <v>89</v>
      </c>
      <c r="D210" s="2" t="s">
        <v>109</v>
      </c>
      <c r="E210" s="2" t="s">
        <v>1381</v>
      </c>
      <c r="G210" s="2" t="s">
        <v>1417</v>
      </c>
      <c r="H210" s="2" t="s">
        <v>1386</v>
      </c>
      <c r="I210" s="2" t="s">
        <v>403</v>
      </c>
      <c r="J210"/>
      <c r="K210"/>
      <c r="L21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ETVMN.TR3.87-51_AR</v>
      </c>
      <c r="N210" s="13" t="str">
        <f>VLOOKUP(Tabla3[[#This Row],[Tipo]],TIPO[#All],2,0)</f>
        <v>ET</v>
      </c>
      <c r="O210" s="13" t="str">
        <f>VLOOKUP(Tabla3[[#This Row],[Lugar]],LUGAR[#All],2,0)</f>
        <v>VMN</v>
      </c>
      <c r="P210" s="13" t="str">
        <f>Tabla3[[#This Row],[SIGLAS]]</f>
        <v>TR3</v>
      </c>
      <c r="Q210" s="13" t="str">
        <f>_xlfn.IFNA(VLOOKUP(Tabla3[[#This Row],[Nivel de tension]],NIVEL[#All],2,0),"")</f>
        <v/>
      </c>
      <c r="R210" s="13" t="str">
        <f>_xlfn.IFNA(VLOOKUP(Tabla3[[#This Row],[DISPOSITIVO]],DISPOSITIVO[],2,0),"")</f>
        <v>87-</v>
      </c>
      <c r="S210" s="13" t="str">
        <f>_xlfn.IFNA(VLOOKUP(Tabla3[[#This Row],[PROTECCION SECUNDARIA]],PROTECCION_SECUNDARIA[],2,0),"")</f>
        <v>51_</v>
      </c>
      <c r="T210" s="13" t="str">
        <f>_xlfn.IFNA(VLOOKUP(Tabla3[[#This Row],[Que]],QUE[#All],2,0),"")</f>
        <v>AR</v>
      </c>
      <c r="U210" s="13" t="str">
        <f>_xlfn.IFNA(VLOOKUP(Tabla3[[#This Row],[Señal]],SEÑAL[#All],2,0),"")</f>
        <v/>
      </c>
      <c r="V210" s="13" t="str">
        <f>_xlfn.IFNA(VLOOKUP(Tabla3[[#This Row],[NUMERO]],SEÑAL[#All],2,0),"")</f>
        <v/>
      </c>
    </row>
    <row r="211" spans="1:22" x14ac:dyDescent="0.25">
      <c r="A211" s="26" t="s">
        <v>1009</v>
      </c>
      <c r="B211" s="2" t="s">
        <v>8</v>
      </c>
      <c r="C211" s="2" t="s">
        <v>89</v>
      </c>
      <c r="D211" s="2" t="s">
        <v>109</v>
      </c>
      <c r="E211" s="2" t="s">
        <v>1381</v>
      </c>
      <c r="G211" s="2" t="s">
        <v>1417</v>
      </c>
      <c r="H211" s="2" t="s">
        <v>1386</v>
      </c>
      <c r="I211" s="2" t="s">
        <v>434</v>
      </c>
      <c r="J211"/>
      <c r="K211"/>
      <c r="L21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ETVMN.TR3.87-51_DI</v>
      </c>
      <c r="N211" s="13" t="str">
        <f>VLOOKUP(Tabla3[[#This Row],[Tipo]],TIPO[#All],2,0)</f>
        <v>ET</v>
      </c>
      <c r="O211" s="13" t="str">
        <f>VLOOKUP(Tabla3[[#This Row],[Lugar]],LUGAR[#All],2,0)</f>
        <v>VMN</v>
      </c>
      <c r="P211" s="13" t="str">
        <f>Tabla3[[#This Row],[SIGLAS]]</f>
        <v>TR3</v>
      </c>
      <c r="Q211" s="13" t="str">
        <f>_xlfn.IFNA(VLOOKUP(Tabla3[[#This Row],[Nivel de tension]],NIVEL[#All],2,0),"")</f>
        <v/>
      </c>
      <c r="R211" s="13" t="str">
        <f>_xlfn.IFNA(VLOOKUP(Tabla3[[#This Row],[DISPOSITIVO]],DISPOSITIVO[],2,0),"")</f>
        <v>87-</v>
      </c>
      <c r="S211" s="13" t="str">
        <f>_xlfn.IFNA(VLOOKUP(Tabla3[[#This Row],[PROTECCION SECUNDARIA]],PROTECCION_SECUNDARIA[],2,0),"")</f>
        <v>51_</v>
      </c>
      <c r="T211" s="13" t="str">
        <f>_xlfn.IFNA(VLOOKUP(Tabla3[[#This Row],[Que]],QUE[#All],2,0),"")</f>
        <v>DI</v>
      </c>
      <c r="U211" s="13" t="str">
        <f>_xlfn.IFNA(VLOOKUP(Tabla3[[#This Row],[Señal]],SEÑAL[#All],2,0),"")</f>
        <v/>
      </c>
      <c r="V211" s="13" t="str">
        <f>_xlfn.IFNA(VLOOKUP(Tabla3[[#This Row],[NUMERO]],SEÑAL[#All],2,0),"")</f>
        <v/>
      </c>
    </row>
    <row r="212" spans="1:22" x14ac:dyDescent="0.25">
      <c r="A212" s="26" t="s">
        <v>1010</v>
      </c>
      <c r="B212" s="2" t="s">
        <v>8</v>
      </c>
      <c r="C212" s="2" t="s">
        <v>89</v>
      </c>
      <c r="D212" s="2" t="s">
        <v>109</v>
      </c>
      <c r="E212" s="2" t="s">
        <v>1381</v>
      </c>
      <c r="G212" s="2" t="s">
        <v>1417</v>
      </c>
      <c r="H212" s="2" t="s">
        <v>1387</v>
      </c>
      <c r="I212" s="2" t="s">
        <v>434</v>
      </c>
      <c r="J212"/>
      <c r="K212"/>
      <c r="L21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ETVMN.TR3.87-50N_DI</v>
      </c>
      <c r="N212" s="13" t="str">
        <f>VLOOKUP(Tabla3[[#This Row],[Tipo]],TIPO[#All],2,0)</f>
        <v>ET</v>
      </c>
      <c r="O212" s="13" t="str">
        <f>VLOOKUP(Tabla3[[#This Row],[Lugar]],LUGAR[#All],2,0)</f>
        <v>VMN</v>
      </c>
      <c r="P212" s="13" t="str">
        <f>Tabla3[[#This Row],[SIGLAS]]</f>
        <v>TR3</v>
      </c>
      <c r="Q212" s="13" t="str">
        <f>_xlfn.IFNA(VLOOKUP(Tabla3[[#This Row],[Nivel de tension]],NIVEL[#All],2,0),"")</f>
        <v/>
      </c>
      <c r="R212" s="13" t="str">
        <f>_xlfn.IFNA(VLOOKUP(Tabla3[[#This Row],[DISPOSITIVO]],DISPOSITIVO[],2,0),"")</f>
        <v>87-</v>
      </c>
      <c r="S212" s="13" t="str">
        <f>_xlfn.IFNA(VLOOKUP(Tabla3[[#This Row],[PROTECCION SECUNDARIA]],PROTECCION_SECUNDARIA[],2,0),"")</f>
        <v>50N_</v>
      </c>
      <c r="T212" s="13" t="str">
        <f>_xlfn.IFNA(VLOOKUP(Tabla3[[#This Row],[Que]],QUE[#All],2,0),"")</f>
        <v>DI</v>
      </c>
      <c r="U212" s="13" t="str">
        <f>_xlfn.IFNA(VLOOKUP(Tabla3[[#This Row],[Señal]],SEÑAL[#All],2,0),"")</f>
        <v/>
      </c>
      <c r="V212" s="13" t="str">
        <f>_xlfn.IFNA(VLOOKUP(Tabla3[[#This Row],[NUMERO]],SEÑAL[#All],2,0),"")</f>
        <v/>
      </c>
    </row>
    <row r="213" spans="1:22" x14ac:dyDescent="0.25">
      <c r="A213" s="26" t="s">
        <v>1011</v>
      </c>
      <c r="B213" s="2" t="s">
        <v>8</v>
      </c>
      <c r="C213" s="2" t="s">
        <v>89</v>
      </c>
      <c r="D213" s="2" t="s">
        <v>109</v>
      </c>
      <c r="E213" s="2" t="s">
        <v>1381</v>
      </c>
      <c r="G213" s="2" t="s">
        <v>1417</v>
      </c>
      <c r="H213" s="2" t="s">
        <v>1388</v>
      </c>
      <c r="I213" s="2" t="s">
        <v>403</v>
      </c>
      <c r="J213"/>
      <c r="K213"/>
      <c r="L21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ETVMN.TR3.87-51N_AR</v>
      </c>
      <c r="N213" s="13" t="str">
        <f>VLOOKUP(Tabla3[[#This Row],[Tipo]],TIPO[#All],2,0)</f>
        <v>ET</v>
      </c>
      <c r="O213" s="13" t="str">
        <f>VLOOKUP(Tabla3[[#This Row],[Lugar]],LUGAR[#All],2,0)</f>
        <v>VMN</v>
      </c>
      <c r="P213" s="13" t="str">
        <f>Tabla3[[#This Row],[SIGLAS]]</f>
        <v>TR3</v>
      </c>
      <c r="Q213" s="13" t="str">
        <f>_xlfn.IFNA(VLOOKUP(Tabla3[[#This Row],[Nivel de tension]],NIVEL[#All],2,0),"")</f>
        <v/>
      </c>
      <c r="R213" s="13" t="str">
        <f>_xlfn.IFNA(VLOOKUP(Tabla3[[#This Row],[DISPOSITIVO]],DISPOSITIVO[],2,0),"")</f>
        <v>87-</v>
      </c>
      <c r="S213" s="13" t="str">
        <f>_xlfn.IFNA(VLOOKUP(Tabla3[[#This Row],[PROTECCION SECUNDARIA]],PROTECCION_SECUNDARIA[],2,0),"")</f>
        <v>51N_</v>
      </c>
      <c r="T213" s="13" t="str">
        <f>_xlfn.IFNA(VLOOKUP(Tabla3[[#This Row],[Que]],QUE[#All],2,0),"")</f>
        <v>AR</v>
      </c>
      <c r="U213" s="13" t="str">
        <f>_xlfn.IFNA(VLOOKUP(Tabla3[[#This Row],[Señal]],SEÑAL[#All],2,0),"")</f>
        <v/>
      </c>
      <c r="V213" s="13" t="str">
        <f>_xlfn.IFNA(VLOOKUP(Tabla3[[#This Row],[NUMERO]],SEÑAL[#All],2,0),"")</f>
        <v/>
      </c>
    </row>
    <row r="214" spans="1:22" x14ac:dyDescent="0.25">
      <c r="A214" s="26" t="s">
        <v>1012</v>
      </c>
      <c r="B214" s="2" t="s">
        <v>8</v>
      </c>
      <c r="C214" s="2" t="s">
        <v>89</v>
      </c>
      <c r="D214" s="2" t="s">
        <v>109</v>
      </c>
      <c r="E214" s="2" t="s">
        <v>1381</v>
      </c>
      <c r="G214" s="2" t="s">
        <v>1417</v>
      </c>
      <c r="H214" s="2" t="s">
        <v>1388</v>
      </c>
      <c r="I214" s="2" t="s">
        <v>434</v>
      </c>
      <c r="J214"/>
      <c r="K214"/>
      <c r="L21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ETVMN.TR3.87-51N_DI</v>
      </c>
      <c r="N214" s="13" t="str">
        <f>VLOOKUP(Tabla3[[#This Row],[Tipo]],TIPO[#All],2,0)</f>
        <v>ET</v>
      </c>
      <c r="O214" s="13" t="str">
        <f>VLOOKUP(Tabla3[[#This Row],[Lugar]],LUGAR[#All],2,0)</f>
        <v>VMN</v>
      </c>
      <c r="P214" s="13" t="str">
        <f>Tabla3[[#This Row],[SIGLAS]]</f>
        <v>TR3</v>
      </c>
      <c r="Q214" s="13" t="str">
        <f>_xlfn.IFNA(VLOOKUP(Tabla3[[#This Row],[Nivel de tension]],NIVEL[#All],2,0),"")</f>
        <v/>
      </c>
      <c r="R214" s="13" t="str">
        <f>_xlfn.IFNA(VLOOKUP(Tabla3[[#This Row],[DISPOSITIVO]],DISPOSITIVO[],2,0),"")</f>
        <v>87-</v>
      </c>
      <c r="S214" s="13" t="str">
        <f>_xlfn.IFNA(VLOOKUP(Tabla3[[#This Row],[PROTECCION SECUNDARIA]],PROTECCION_SECUNDARIA[],2,0),"")</f>
        <v>51N_</v>
      </c>
      <c r="T214" s="13" t="str">
        <f>_xlfn.IFNA(VLOOKUP(Tabla3[[#This Row],[Que]],QUE[#All],2,0),"")</f>
        <v>DI</v>
      </c>
      <c r="U214" s="13" t="str">
        <f>_xlfn.IFNA(VLOOKUP(Tabla3[[#This Row],[Señal]],SEÑAL[#All],2,0),"")</f>
        <v/>
      </c>
      <c r="V214" s="13" t="str">
        <f>_xlfn.IFNA(VLOOKUP(Tabla3[[#This Row],[NUMERO]],SEÑAL[#All],2,0),"")</f>
        <v/>
      </c>
    </row>
    <row r="215" spans="1:22" x14ac:dyDescent="0.25">
      <c r="A215" s="26" t="s">
        <v>1013</v>
      </c>
      <c r="B215" s="2" t="s">
        <v>8</v>
      </c>
      <c r="C215" s="2" t="s">
        <v>89</v>
      </c>
      <c r="D215" s="2" t="s">
        <v>109</v>
      </c>
      <c r="E215" s="2" t="s">
        <v>1381</v>
      </c>
      <c r="G215" s="2" t="s">
        <v>1417</v>
      </c>
      <c r="H215" s="2" t="s">
        <v>1408</v>
      </c>
      <c r="I215" s="2" t="s">
        <v>403</v>
      </c>
      <c r="J215" t="s">
        <v>15</v>
      </c>
      <c r="K215"/>
      <c r="L21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ETVMN.TR3.87-5051N_AR_CUBA</v>
      </c>
      <c r="N215" s="13" t="str">
        <f>VLOOKUP(Tabla3[[#This Row],[Tipo]],TIPO[#All],2,0)</f>
        <v>ET</v>
      </c>
      <c r="O215" s="13" t="str">
        <f>VLOOKUP(Tabla3[[#This Row],[Lugar]],LUGAR[#All],2,0)</f>
        <v>VMN</v>
      </c>
      <c r="P215" s="13" t="str">
        <f>Tabla3[[#This Row],[SIGLAS]]</f>
        <v>TR3</v>
      </c>
      <c r="Q215" s="13" t="str">
        <f>_xlfn.IFNA(VLOOKUP(Tabla3[[#This Row],[Nivel de tension]],NIVEL[#All],2,0),"")</f>
        <v/>
      </c>
      <c r="R215" s="13" t="str">
        <f>_xlfn.IFNA(VLOOKUP(Tabla3[[#This Row],[DISPOSITIVO]],DISPOSITIVO[],2,0),"")</f>
        <v>87-</v>
      </c>
      <c r="S215" s="13" t="str">
        <f>_xlfn.IFNA(VLOOKUP(Tabla3[[#This Row],[PROTECCION SECUNDARIA]],PROTECCION_SECUNDARIA[],2,0),"")</f>
        <v>5051N_</v>
      </c>
      <c r="T215" s="13" t="str">
        <f>_xlfn.IFNA(VLOOKUP(Tabla3[[#This Row],[Que]],QUE[#All],2,0),"")</f>
        <v>AR</v>
      </c>
      <c r="U215" s="13" t="str">
        <f>_xlfn.IFNA(VLOOKUP(Tabla3[[#This Row],[Señal]],SEÑAL[#All],2,0),"")</f>
        <v>_CUBA</v>
      </c>
      <c r="V215" s="13" t="str">
        <f>_xlfn.IFNA(VLOOKUP(Tabla3[[#This Row],[NUMERO]],SEÑAL[#All],2,0),"")</f>
        <v/>
      </c>
    </row>
    <row r="216" spans="1:22" x14ac:dyDescent="0.25">
      <c r="A216" s="26" t="s">
        <v>1014</v>
      </c>
      <c r="B216" s="2" t="s">
        <v>8</v>
      </c>
      <c r="C216" s="2" t="s">
        <v>89</v>
      </c>
      <c r="D216" s="2" t="s">
        <v>109</v>
      </c>
      <c r="E216" s="2" t="s">
        <v>1381</v>
      </c>
      <c r="G216" s="2" t="s">
        <v>1417</v>
      </c>
      <c r="H216" s="2" t="s">
        <v>1387</v>
      </c>
      <c r="I216" s="2" t="s">
        <v>434</v>
      </c>
      <c r="J216" t="s">
        <v>15</v>
      </c>
      <c r="K216"/>
      <c r="L21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ETVMN.TR3.87-50N_DI_CUBA</v>
      </c>
      <c r="N216" s="13" t="str">
        <f>VLOOKUP(Tabla3[[#This Row],[Tipo]],TIPO[#All],2,0)</f>
        <v>ET</v>
      </c>
      <c r="O216" s="13" t="str">
        <f>VLOOKUP(Tabla3[[#This Row],[Lugar]],LUGAR[#All],2,0)</f>
        <v>VMN</v>
      </c>
      <c r="P216" s="13" t="str">
        <f>Tabla3[[#This Row],[SIGLAS]]</f>
        <v>TR3</v>
      </c>
      <c r="Q216" s="13" t="str">
        <f>_xlfn.IFNA(VLOOKUP(Tabla3[[#This Row],[Nivel de tension]],NIVEL[#All],2,0),"")</f>
        <v/>
      </c>
      <c r="R216" s="13" t="str">
        <f>_xlfn.IFNA(VLOOKUP(Tabla3[[#This Row],[DISPOSITIVO]],DISPOSITIVO[],2,0),"")</f>
        <v>87-</v>
      </c>
      <c r="S216" s="13" t="str">
        <f>_xlfn.IFNA(VLOOKUP(Tabla3[[#This Row],[PROTECCION SECUNDARIA]],PROTECCION_SECUNDARIA[],2,0),"")</f>
        <v>50N_</v>
      </c>
      <c r="T216" s="13" t="str">
        <f>_xlfn.IFNA(VLOOKUP(Tabla3[[#This Row],[Que]],QUE[#All],2,0),"")</f>
        <v>DI</v>
      </c>
      <c r="U216" s="13" t="str">
        <f>_xlfn.IFNA(VLOOKUP(Tabla3[[#This Row],[Señal]],SEÑAL[#All],2,0),"")</f>
        <v>_CUBA</v>
      </c>
      <c r="V216" s="13" t="str">
        <f>_xlfn.IFNA(VLOOKUP(Tabla3[[#This Row],[NUMERO]],SEÑAL[#All],2,0),"")</f>
        <v/>
      </c>
    </row>
    <row r="217" spans="1:22" x14ac:dyDescent="0.25">
      <c r="A217" s="26" t="s">
        <v>1015</v>
      </c>
      <c r="B217" s="2" t="s">
        <v>8</v>
      </c>
      <c r="C217" s="2" t="s">
        <v>89</v>
      </c>
      <c r="D217" s="2" t="s">
        <v>109</v>
      </c>
      <c r="E217" s="2" t="s">
        <v>1381</v>
      </c>
      <c r="G217" s="2" t="s">
        <v>1417</v>
      </c>
      <c r="H217" s="2" t="s">
        <v>1388</v>
      </c>
      <c r="I217" s="2" t="s">
        <v>403</v>
      </c>
      <c r="J217" t="s">
        <v>15</v>
      </c>
      <c r="K217"/>
      <c r="L21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ETVMN.TR3.87-51N_AR_CUBA</v>
      </c>
      <c r="N217" s="13" t="str">
        <f>VLOOKUP(Tabla3[[#This Row],[Tipo]],TIPO[#All],2,0)</f>
        <v>ET</v>
      </c>
      <c r="O217" s="13" t="str">
        <f>VLOOKUP(Tabla3[[#This Row],[Lugar]],LUGAR[#All],2,0)</f>
        <v>VMN</v>
      </c>
      <c r="P217" s="13" t="str">
        <f>Tabla3[[#This Row],[SIGLAS]]</f>
        <v>TR3</v>
      </c>
      <c r="Q217" s="13" t="str">
        <f>_xlfn.IFNA(VLOOKUP(Tabla3[[#This Row],[Nivel de tension]],NIVEL[#All],2,0),"")</f>
        <v/>
      </c>
      <c r="R217" s="13" t="str">
        <f>_xlfn.IFNA(VLOOKUP(Tabla3[[#This Row],[DISPOSITIVO]],DISPOSITIVO[],2,0),"")</f>
        <v>87-</v>
      </c>
      <c r="S217" s="13" t="str">
        <f>_xlfn.IFNA(VLOOKUP(Tabla3[[#This Row],[PROTECCION SECUNDARIA]],PROTECCION_SECUNDARIA[],2,0),"")</f>
        <v>51N_</v>
      </c>
      <c r="T217" s="13" t="str">
        <f>_xlfn.IFNA(VLOOKUP(Tabla3[[#This Row],[Que]],QUE[#All],2,0),"")</f>
        <v>AR</v>
      </c>
      <c r="U217" s="13" t="str">
        <f>_xlfn.IFNA(VLOOKUP(Tabla3[[#This Row],[Señal]],SEÑAL[#All],2,0),"")</f>
        <v>_CUBA</v>
      </c>
      <c r="V217" s="13" t="str">
        <f>_xlfn.IFNA(VLOOKUP(Tabla3[[#This Row],[NUMERO]],SEÑAL[#All],2,0),"")</f>
        <v/>
      </c>
    </row>
    <row r="218" spans="1:22" x14ac:dyDescent="0.25">
      <c r="A218" s="26" t="s">
        <v>1016</v>
      </c>
      <c r="B218" s="2" t="s">
        <v>8</v>
      </c>
      <c r="C218" s="2" t="s">
        <v>89</v>
      </c>
      <c r="D218" s="2" t="s">
        <v>109</v>
      </c>
      <c r="E218" s="2" t="s">
        <v>1381</v>
      </c>
      <c r="G218" s="2" t="s">
        <v>1417</v>
      </c>
      <c r="H218" s="2" t="s">
        <v>1388</v>
      </c>
      <c r="I218" s="2" t="s">
        <v>434</v>
      </c>
      <c r="J218" t="s">
        <v>15</v>
      </c>
      <c r="K218"/>
      <c r="L21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ETVMN.TR3.87-51N_DI_CUBA</v>
      </c>
      <c r="N218" s="13" t="str">
        <f>VLOOKUP(Tabla3[[#This Row],[Tipo]],TIPO[#All],2,0)</f>
        <v>ET</v>
      </c>
      <c r="O218" s="13" t="str">
        <f>VLOOKUP(Tabla3[[#This Row],[Lugar]],LUGAR[#All],2,0)</f>
        <v>VMN</v>
      </c>
      <c r="P218" s="13" t="str">
        <f>Tabla3[[#This Row],[SIGLAS]]</f>
        <v>TR3</v>
      </c>
      <c r="Q218" s="13" t="str">
        <f>_xlfn.IFNA(VLOOKUP(Tabla3[[#This Row],[Nivel de tension]],NIVEL[#All],2,0),"")</f>
        <v/>
      </c>
      <c r="R218" s="13" t="str">
        <f>_xlfn.IFNA(VLOOKUP(Tabla3[[#This Row],[DISPOSITIVO]],DISPOSITIVO[],2,0),"")</f>
        <v>87-</v>
      </c>
      <c r="S218" s="13" t="str">
        <f>_xlfn.IFNA(VLOOKUP(Tabla3[[#This Row],[PROTECCION SECUNDARIA]],PROTECCION_SECUNDARIA[],2,0),"")</f>
        <v>51N_</v>
      </c>
      <c r="T218" s="13" t="str">
        <f>_xlfn.IFNA(VLOOKUP(Tabla3[[#This Row],[Que]],QUE[#All],2,0),"")</f>
        <v>DI</v>
      </c>
      <c r="U218" s="13" t="str">
        <f>_xlfn.IFNA(VLOOKUP(Tabla3[[#This Row],[Señal]],SEÑAL[#All],2,0),"")</f>
        <v>_CUBA</v>
      </c>
      <c r="V218" s="13" t="str">
        <f>_xlfn.IFNA(VLOOKUP(Tabla3[[#This Row],[NUMERO]],SEÑAL[#All],2,0),"")</f>
        <v/>
      </c>
    </row>
    <row r="219" spans="1:22" x14ac:dyDescent="0.25">
      <c r="A219" s="26" t="s">
        <v>1017</v>
      </c>
      <c r="B219" s="2" t="s">
        <v>8</v>
      </c>
      <c r="C219" s="2" t="s">
        <v>89</v>
      </c>
      <c r="D219" s="2" t="s">
        <v>109</v>
      </c>
      <c r="E219" s="2" t="s">
        <v>1381</v>
      </c>
      <c r="G219" s="2" t="s">
        <v>358</v>
      </c>
      <c r="I219" s="2" t="s">
        <v>469</v>
      </c>
      <c r="J219"/>
      <c r="K219"/>
      <c r="L21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ETVMN.TR3.87_OVERL</v>
      </c>
      <c r="N219" s="13" t="str">
        <f>VLOOKUP(Tabla3[[#This Row],[Tipo]],TIPO[#All],2,0)</f>
        <v>ET</v>
      </c>
      <c r="O219" s="13" t="str">
        <f>VLOOKUP(Tabla3[[#This Row],[Lugar]],LUGAR[#All],2,0)</f>
        <v>VMN</v>
      </c>
      <c r="P219" s="13" t="str">
        <f>Tabla3[[#This Row],[SIGLAS]]</f>
        <v>TR3</v>
      </c>
      <c r="Q219" s="13" t="str">
        <f>_xlfn.IFNA(VLOOKUP(Tabla3[[#This Row],[Nivel de tension]],NIVEL[#All],2,0),"")</f>
        <v/>
      </c>
      <c r="R219" s="13" t="str">
        <f>_xlfn.IFNA(VLOOKUP(Tabla3[[#This Row],[DISPOSITIVO]],DISPOSITIVO[],2,0),"")</f>
        <v>87_</v>
      </c>
      <c r="S219" s="13" t="str">
        <f>_xlfn.IFNA(VLOOKUP(Tabla3[[#This Row],[PROTECCION SECUNDARIA]],PROTECCION_SECUNDARIA[],2,0),"")</f>
        <v/>
      </c>
      <c r="T219" s="13" t="str">
        <f>_xlfn.IFNA(VLOOKUP(Tabla3[[#This Row],[Que]],QUE[#All],2,0),"")</f>
        <v>OVERL</v>
      </c>
      <c r="U219" s="13" t="str">
        <f>_xlfn.IFNA(VLOOKUP(Tabla3[[#This Row],[Señal]],SEÑAL[#All],2,0),"")</f>
        <v/>
      </c>
      <c r="V219" s="13" t="str">
        <f>_xlfn.IFNA(VLOOKUP(Tabla3[[#This Row],[NUMERO]],SEÑAL[#All],2,0),"")</f>
        <v/>
      </c>
    </row>
    <row r="220" spans="1:22" x14ac:dyDescent="0.25">
      <c r="A220" s="26" t="s">
        <v>1018</v>
      </c>
      <c r="B220" s="2" t="s">
        <v>8</v>
      </c>
      <c r="C220" s="2" t="s">
        <v>89</v>
      </c>
      <c r="D220" s="2" t="s">
        <v>109</v>
      </c>
      <c r="E220" s="2" t="s">
        <v>1381</v>
      </c>
      <c r="G220" s="2" t="s">
        <v>358</v>
      </c>
      <c r="I220" s="2" t="s">
        <v>397</v>
      </c>
      <c r="J220" t="s">
        <v>716</v>
      </c>
      <c r="K220"/>
      <c r="L22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ETVMN.TR3.87_ALBZ</v>
      </c>
      <c r="N220" s="13" t="str">
        <f>VLOOKUP(Tabla3[[#This Row],[Tipo]],TIPO[#All],2,0)</f>
        <v>ET</v>
      </c>
      <c r="O220" s="13" t="str">
        <f>VLOOKUP(Tabla3[[#This Row],[Lugar]],LUGAR[#All],2,0)</f>
        <v>VMN</v>
      </c>
      <c r="P220" s="13" t="str">
        <f>Tabla3[[#This Row],[SIGLAS]]</f>
        <v>TR3</v>
      </c>
      <c r="Q220" s="13" t="str">
        <f>_xlfn.IFNA(VLOOKUP(Tabla3[[#This Row],[Nivel de tension]],NIVEL[#All],2,0),"")</f>
        <v/>
      </c>
      <c r="R220" s="13" t="str">
        <f>_xlfn.IFNA(VLOOKUP(Tabla3[[#This Row],[DISPOSITIVO]],DISPOSITIVO[],2,0),"")</f>
        <v>87_</v>
      </c>
      <c r="S220" s="13" t="str">
        <f>_xlfn.IFNA(VLOOKUP(Tabla3[[#This Row],[PROTECCION SECUNDARIA]],PROTECCION_SECUNDARIA[],2,0),"")</f>
        <v/>
      </c>
      <c r="T220" s="13" t="str">
        <f>_xlfn.IFNA(VLOOKUP(Tabla3[[#This Row],[Que]],QUE[#All],2,0),"")</f>
        <v>AL</v>
      </c>
      <c r="U220" s="13" t="str">
        <f>_xlfn.IFNA(VLOOKUP(Tabla3[[#This Row],[Señal]],SEÑAL[#All],2,0),"")</f>
        <v>BZ</v>
      </c>
      <c r="V220" s="13" t="str">
        <f>_xlfn.IFNA(VLOOKUP(Tabla3[[#This Row],[NUMERO]],SEÑAL[#All],2,0),"")</f>
        <v/>
      </c>
    </row>
    <row r="221" spans="1:22" x14ac:dyDescent="0.25">
      <c r="A221" s="26" t="s">
        <v>1019</v>
      </c>
      <c r="B221" s="2" t="s">
        <v>8</v>
      </c>
      <c r="C221" s="2" t="s">
        <v>89</v>
      </c>
      <c r="D221" s="2" t="s">
        <v>109</v>
      </c>
      <c r="E221" s="2" t="s">
        <v>1381</v>
      </c>
      <c r="G221" s="2" t="s">
        <v>358</v>
      </c>
      <c r="I221" s="2" t="s">
        <v>397</v>
      </c>
      <c r="J221" t="s">
        <v>810</v>
      </c>
      <c r="K221"/>
      <c r="L22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ETVMN.TR3.87_ALTE</v>
      </c>
      <c r="N221" s="13" t="str">
        <f>VLOOKUP(Tabla3[[#This Row],[Tipo]],TIPO[#All],2,0)</f>
        <v>ET</v>
      </c>
      <c r="O221" s="13" t="str">
        <f>VLOOKUP(Tabla3[[#This Row],[Lugar]],LUGAR[#All],2,0)</f>
        <v>VMN</v>
      </c>
      <c r="P221" s="13" t="str">
        <f>Tabla3[[#This Row],[SIGLAS]]</f>
        <v>TR3</v>
      </c>
      <c r="Q221" s="13" t="str">
        <f>_xlfn.IFNA(VLOOKUP(Tabla3[[#This Row],[Nivel de tension]],NIVEL[#All],2,0),"")</f>
        <v/>
      </c>
      <c r="R221" s="13" t="str">
        <f>_xlfn.IFNA(VLOOKUP(Tabla3[[#This Row],[DISPOSITIVO]],DISPOSITIVO[],2,0),"")</f>
        <v>87_</v>
      </c>
      <c r="S221" s="13" t="str">
        <f>_xlfn.IFNA(VLOOKUP(Tabla3[[#This Row],[PROTECCION SECUNDARIA]],PROTECCION_SECUNDARIA[],2,0),"")</f>
        <v/>
      </c>
      <c r="T221" s="13" t="str">
        <f>_xlfn.IFNA(VLOOKUP(Tabla3[[#This Row],[Que]],QUE[#All],2,0),"")</f>
        <v>AL</v>
      </c>
      <c r="U221" s="13" t="str">
        <f>_xlfn.IFNA(VLOOKUP(Tabla3[[#This Row],[Señal]],SEÑAL[#All],2,0),"")</f>
        <v>TE</v>
      </c>
      <c r="V221" s="13" t="str">
        <f>_xlfn.IFNA(VLOOKUP(Tabla3[[#This Row],[NUMERO]],SEÑAL[#All],2,0),"")</f>
        <v/>
      </c>
    </row>
    <row r="222" spans="1:22" x14ac:dyDescent="0.25">
      <c r="A222" s="26" t="s">
        <v>1020</v>
      </c>
      <c r="B222" s="2" t="s">
        <v>8</v>
      </c>
      <c r="C222" s="2" t="s">
        <v>89</v>
      </c>
      <c r="D222" s="2" t="s">
        <v>109</v>
      </c>
      <c r="E222" s="2" t="s">
        <v>1381</v>
      </c>
      <c r="G222" s="2" t="s">
        <v>358</v>
      </c>
      <c r="I222" s="2" t="s">
        <v>397</v>
      </c>
      <c r="J222" t="s">
        <v>762</v>
      </c>
      <c r="K222"/>
      <c r="L22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ETVMN.TR3.87_ALNIAC</v>
      </c>
      <c r="N222" s="13" t="str">
        <f>VLOOKUP(Tabla3[[#This Row],[Tipo]],TIPO[#All],2,0)</f>
        <v>ET</v>
      </c>
      <c r="O222" s="13" t="str">
        <f>VLOOKUP(Tabla3[[#This Row],[Lugar]],LUGAR[#All],2,0)</f>
        <v>VMN</v>
      </c>
      <c r="P222" s="13" t="str">
        <f>Tabla3[[#This Row],[SIGLAS]]</f>
        <v>TR3</v>
      </c>
      <c r="Q222" s="13" t="str">
        <f>_xlfn.IFNA(VLOOKUP(Tabla3[[#This Row],[Nivel de tension]],NIVEL[#All],2,0),"")</f>
        <v/>
      </c>
      <c r="R222" s="13" t="str">
        <f>_xlfn.IFNA(VLOOKUP(Tabla3[[#This Row],[DISPOSITIVO]],DISPOSITIVO[],2,0),"")</f>
        <v>87_</v>
      </c>
      <c r="S222" s="13" t="str">
        <f>_xlfn.IFNA(VLOOKUP(Tabla3[[#This Row],[PROTECCION SECUNDARIA]],PROTECCION_SECUNDARIA[],2,0),"")</f>
        <v/>
      </c>
      <c r="T222" s="13" t="str">
        <f>_xlfn.IFNA(VLOOKUP(Tabla3[[#This Row],[Que]],QUE[#All],2,0),"")</f>
        <v>AL</v>
      </c>
      <c r="U222" s="13" t="str">
        <f>_xlfn.IFNA(VLOOKUP(Tabla3[[#This Row],[Señal]],SEÑAL[#All],2,0),"")</f>
        <v>NIAC</v>
      </c>
      <c r="V222" s="13" t="str">
        <f>_xlfn.IFNA(VLOOKUP(Tabla3[[#This Row],[NUMERO]],SEÑAL[#All],2,0),"")</f>
        <v/>
      </c>
    </row>
    <row r="223" spans="1:22" x14ac:dyDescent="0.25">
      <c r="A223" s="26" t="s">
        <v>1021</v>
      </c>
      <c r="B223" s="2" t="s">
        <v>8</v>
      </c>
      <c r="C223" s="2" t="s">
        <v>89</v>
      </c>
      <c r="D223" s="2" t="s">
        <v>109</v>
      </c>
      <c r="E223" s="2" t="s">
        <v>1381</v>
      </c>
      <c r="F223" s="2" t="s">
        <v>14</v>
      </c>
      <c r="G223" s="2" t="s">
        <v>358</v>
      </c>
      <c r="I223" s="2" t="s">
        <v>397</v>
      </c>
      <c r="J223" t="s">
        <v>738</v>
      </c>
      <c r="K223"/>
      <c r="L22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ETVMN.TR3.387_ALIMTE</v>
      </c>
      <c r="N223" s="13" t="str">
        <f>VLOOKUP(Tabla3[[#This Row],[Tipo]],TIPO[#All],2,0)</f>
        <v>ET</v>
      </c>
      <c r="O223" s="13" t="str">
        <f>VLOOKUP(Tabla3[[#This Row],[Lugar]],LUGAR[#All],2,0)</f>
        <v>VMN</v>
      </c>
      <c r="P223" s="13" t="str">
        <f>Tabla3[[#This Row],[SIGLAS]]</f>
        <v>TR3</v>
      </c>
      <c r="Q223" s="13">
        <f>_xlfn.IFNA(VLOOKUP(Tabla3[[#This Row],[Nivel de tension]],NIVEL[#All],2,0),"")</f>
        <v>3</v>
      </c>
      <c r="R223" s="13" t="str">
        <f>_xlfn.IFNA(VLOOKUP(Tabla3[[#This Row],[DISPOSITIVO]],DISPOSITIVO[],2,0),"")</f>
        <v>87_</v>
      </c>
      <c r="S223" s="13" t="str">
        <f>_xlfn.IFNA(VLOOKUP(Tabla3[[#This Row],[PROTECCION SECUNDARIA]],PROTECCION_SECUNDARIA[],2,0),"")</f>
        <v/>
      </c>
      <c r="T223" s="13" t="str">
        <f>_xlfn.IFNA(VLOOKUP(Tabla3[[#This Row],[Que]],QUE[#All],2,0),"")</f>
        <v>AL</v>
      </c>
      <c r="U223" s="13" t="str">
        <f>_xlfn.IFNA(VLOOKUP(Tabla3[[#This Row],[Señal]],SEÑAL[#All],2,0),"")</f>
        <v>IMTE</v>
      </c>
      <c r="V223" s="13" t="str">
        <f>_xlfn.IFNA(VLOOKUP(Tabla3[[#This Row],[NUMERO]],SEÑAL[#All],2,0),"")</f>
        <v/>
      </c>
    </row>
    <row r="224" spans="1:22" x14ac:dyDescent="0.25">
      <c r="A224" s="26" t="s">
        <v>1022</v>
      </c>
      <c r="B224" s="2" t="s">
        <v>8</v>
      </c>
      <c r="C224" s="2" t="s">
        <v>89</v>
      </c>
      <c r="D224" s="2" t="s">
        <v>109</v>
      </c>
      <c r="E224" s="2" t="s">
        <v>1381</v>
      </c>
      <c r="F224" s="2" t="s">
        <v>10</v>
      </c>
      <c r="G224" s="2" t="s">
        <v>358</v>
      </c>
      <c r="I224" s="2" t="s">
        <v>397</v>
      </c>
      <c r="J224" t="s">
        <v>738</v>
      </c>
      <c r="K224"/>
      <c r="L22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ETVMN.TR3.287_ALIMTE</v>
      </c>
      <c r="N224" s="13" t="str">
        <f>VLOOKUP(Tabla3[[#This Row],[Tipo]],TIPO[#All],2,0)</f>
        <v>ET</v>
      </c>
      <c r="O224" s="13" t="str">
        <f>VLOOKUP(Tabla3[[#This Row],[Lugar]],LUGAR[#All],2,0)</f>
        <v>VMN</v>
      </c>
      <c r="P224" s="13" t="str">
        <f>Tabla3[[#This Row],[SIGLAS]]</f>
        <v>TR3</v>
      </c>
      <c r="Q224" s="13">
        <f>_xlfn.IFNA(VLOOKUP(Tabla3[[#This Row],[Nivel de tension]],NIVEL[#All],2,0),"")</f>
        <v>2</v>
      </c>
      <c r="R224" s="13" t="str">
        <f>_xlfn.IFNA(VLOOKUP(Tabla3[[#This Row],[DISPOSITIVO]],DISPOSITIVO[],2,0),"")</f>
        <v>87_</v>
      </c>
      <c r="S224" s="13" t="str">
        <f>_xlfn.IFNA(VLOOKUP(Tabla3[[#This Row],[PROTECCION SECUNDARIA]],PROTECCION_SECUNDARIA[],2,0),"")</f>
        <v/>
      </c>
      <c r="T224" s="13" t="str">
        <f>_xlfn.IFNA(VLOOKUP(Tabla3[[#This Row],[Que]],QUE[#All],2,0),"")</f>
        <v>AL</v>
      </c>
      <c r="U224" s="13" t="str">
        <f>_xlfn.IFNA(VLOOKUP(Tabla3[[#This Row],[Señal]],SEÑAL[#All],2,0),"")</f>
        <v>IMTE</v>
      </c>
      <c r="V224" s="13" t="str">
        <f>_xlfn.IFNA(VLOOKUP(Tabla3[[#This Row],[NUMERO]],SEÑAL[#All],2,0),"")</f>
        <v/>
      </c>
    </row>
    <row r="225" spans="1:22" x14ac:dyDescent="0.25">
      <c r="A225" s="26" t="s">
        <v>1023</v>
      </c>
      <c r="B225" s="2" t="s">
        <v>8</v>
      </c>
      <c r="C225" s="2" t="s">
        <v>89</v>
      </c>
      <c r="D225" s="2" t="s">
        <v>109</v>
      </c>
      <c r="E225" s="2" t="s">
        <v>1381</v>
      </c>
      <c r="F225" s="2" t="s">
        <v>3</v>
      </c>
      <c r="G225" s="2" t="s">
        <v>358</v>
      </c>
      <c r="I225" s="2" t="s">
        <v>397</v>
      </c>
      <c r="J225" t="s">
        <v>738</v>
      </c>
      <c r="K225"/>
      <c r="L22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ETVMN.TR3.187_ALIMTE</v>
      </c>
      <c r="N225" s="13" t="str">
        <f>VLOOKUP(Tabla3[[#This Row],[Tipo]],TIPO[#All],2,0)</f>
        <v>ET</v>
      </c>
      <c r="O225" s="13" t="str">
        <f>VLOOKUP(Tabla3[[#This Row],[Lugar]],LUGAR[#All],2,0)</f>
        <v>VMN</v>
      </c>
      <c r="P225" s="13" t="str">
        <f>Tabla3[[#This Row],[SIGLAS]]</f>
        <v>TR3</v>
      </c>
      <c r="Q225" s="13">
        <f>_xlfn.IFNA(VLOOKUP(Tabla3[[#This Row],[Nivel de tension]],NIVEL[#All],2,0),"")</f>
        <v>1</v>
      </c>
      <c r="R225" s="13" t="str">
        <f>_xlfn.IFNA(VLOOKUP(Tabla3[[#This Row],[DISPOSITIVO]],DISPOSITIVO[],2,0),"")</f>
        <v>87_</v>
      </c>
      <c r="S225" s="13" t="str">
        <f>_xlfn.IFNA(VLOOKUP(Tabla3[[#This Row],[PROTECCION SECUNDARIA]],PROTECCION_SECUNDARIA[],2,0),"")</f>
        <v/>
      </c>
      <c r="T225" s="13" t="str">
        <f>_xlfn.IFNA(VLOOKUP(Tabla3[[#This Row],[Que]],QUE[#All],2,0),"")</f>
        <v>AL</v>
      </c>
      <c r="U225" s="13" t="str">
        <f>_xlfn.IFNA(VLOOKUP(Tabla3[[#This Row],[Señal]],SEÑAL[#All],2,0),"")</f>
        <v>IMTE</v>
      </c>
      <c r="V225" s="13" t="str">
        <f>_xlfn.IFNA(VLOOKUP(Tabla3[[#This Row],[NUMERO]],SEÑAL[#All],2,0),"")</f>
        <v/>
      </c>
    </row>
    <row r="226" spans="1:22" x14ac:dyDescent="0.25">
      <c r="A226" s="26" t="s">
        <v>1024</v>
      </c>
      <c r="B226" s="2" t="s">
        <v>8</v>
      </c>
      <c r="C226" s="2" t="s">
        <v>89</v>
      </c>
      <c r="D226" s="2" t="s">
        <v>109</v>
      </c>
      <c r="E226" s="2" t="s">
        <v>1381</v>
      </c>
      <c r="G226" s="2" t="s">
        <v>369</v>
      </c>
      <c r="I226" s="2" t="s">
        <v>397</v>
      </c>
      <c r="J226" t="s">
        <v>762</v>
      </c>
      <c r="K226"/>
      <c r="L22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ETVMN.TR3.RBC_ALNIAC</v>
      </c>
      <c r="N226" s="13" t="str">
        <f>VLOOKUP(Tabla3[[#This Row],[Tipo]],TIPO[#All],2,0)</f>
        <v>ET</v>
      </c>
      <c r="O226" s="13" t="str">
        <f>VLOOKUP(Tabla3[[#This Row],[Lugar]],LUGAR[#All],2,0)</f>
        <v>VMN</v>
      </c>
      <c r="P226" s="13" t="str">
        <f>Tabla3[[#This Row],[SIGLAS]]</f>
        <v>TR3</v>
      </c>
      <c r="Q226" s="13" t="str">
        <f>_xlfn.IFNA(VLOOKUP(Tabla3[[#This Row],[Nivel de tension]],NIVEL[#All],2,0),"")</f>
        <v/>
      </c>
      <c r="R226" s="13" t="str">
        <f>_xlfn.IFNA(VLOOKUP(Tabla3[[#This Row],[DISPOSITIVO]],DISPOSITIVO[],2,0),"")</f>
        <v>RBC_</v>
      </c>
      <c r="S226" s="13" t="str">
        <f>_xlfn.IFNA(VLOOKUP(Tabla3[[#This Row],[PROTECCION SECUNDARIA]],PROTECCION_SECUNDARIA[],2,0),"")</f>
        <v/>
      </c>
      <c r="T226" s="13" t="str">
        <f>_xlfn.IFNA(VLOOKUP(Tabla3[[#This Row],[Que]],QUE[#All],2,0),"")</f>
        <v>AL</v>
      </c>
      <c r="U226" s="13" t="str">
        <f>_xlfn.IFNA(VLOOKUP(Tabla3[[#This Row],[Señal]],SEÑAL[#All],2,0),"")</f>
        <v>NIAC</v>
      </c>
      <c r="V226" s="13" t="str">
        <f>_xlfn.IFNA(VLOOKUP(Tabla3[[#This Row],[NUMERO]],SEÑAL[#All],2,0),"")</f>
        <v/>
      </c>
    </row>
    <row r="227" spans="1:22" x14ac:dyDescent="0.25">
      <c r="A227" s="26" t="s">
        <v>1025</v>
      </c>
      <c r="B227" s="2" t="s">
        <v>8</v>
      </c>
      <c r="C227" s="2" t="s">
        <v>89</v>
      </c>
      <c r="D227" s="2" t="s">
        <v>109</v>
      </c>
      <c r="E227" s="2" t="s">
        <v>1381</v>
      </c>
      <c r="G227" s="2" t="s">
        <v>369</v>
      </c>
      <c r="I227" s="2" t="s">
        <v>397</v>
      </c>
      <c r="J227" t="s">
        <v>716</v>
      </c>
      <c r="K227"/>
      <c r="L22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ETVMN.TR3.RBC_ALBZ</v>
      </c>
      <c r="N227" s="13" t="str">
        <f>VLOOKUP(Tabla3[[#This Row],[Tipo]],TIPO[#All],2,0)</f>
        <v>ET</v>
      </c>
      <c r="O227" s="13" t="str">
        <f>VLOOKUP(Tabla3[[#This Row],[Lugar]],LUGAR[#All],2,0)</f>
        <v>VMN</v>
      </c>
      <c r="P227" s="13" t="str">
        <f>Tabla3[[#This Row],[SIGLAS]]</f>
        <v>TR3</v>
      </c>
      <c r="Q227" s="13" t="str">
        <f>_xlfn.IFNA(VLOOKUP(Tabla3[[#This Row],[Nivel de tension]],NIVEL[#All],2,0),"")</f>
        <v/>
      </c>
      <c r="R227" s="13" t="str">
        <f>_xlfn.IFNA(VLOOKUP(Tabla3[[#This Row],[DISPOSITIVO]],DISPOSITIVO[],2,0),"")</f>
        <v>RBC_</v>
      </c>
      <c r="S227" s="13" t="str">
        <f>_xlfn.IFNA(VLOOKUP(Tabla3[[#This Row],[PROTECCION SECUNDARIA]],PROTECCION_SECUNDARIA[],2,0),"")</f>
        <v/>
      </c>
      <c r="T227" s="13" t="str">
        <f>_xlfn.IFNA(VLOOKUP(Tabla3[[#This Row],[Que]],QUE[#All],2,0),"")</f>
        <v>AL</v>
      </c>
      <c r="U227" s="13" t="str">
        <f>_xlfn.IFNA(VLOOKUP(Tabla3[[#This Row],[Señal]],SEÑAL[#All],2,0),"")</f>
        <v>BZ</v>
      </c>
      <c r="V227" s="13" t="str">
        <f>_xlfn.IFNA(VLOOKUP(Tabla3[[#This Row],[NUMERO]],SEÑAL[#All],2,0),"")</f>
        <v/>
      </c>
    </row>
    <row r="228" spans="1:22" x14ac:dyDescent="0.25">
      <c r="A228" s="26" t="s">
        <v>1026</v>
      </c>
      <c r="B228" s="2" t="s">
        <v>8</v>
      </c>
      <c r="C228" s="2" t="s">
        <v>89</v>
      </c>
      <c r="D228" s="2" t="s">
        <v>109</v>
      </c>
      <c r="E228" s="2" t="s">
        <v>1381</v>
      </c>
      <c r="G228" s="2" t="s">
        <v>358</v>
      </c>
      <c r="I228" s="2" t="s">
        <v>434</v>
      </c>
      <c r="J228" t="s">
        <v>716</v>
      </c>
      <c r="K228"/>
      <c r="L22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ETVMN.TR3.87_DIBZ</v>
      </c>
      <c r="N228" s="13" t="str">
        <f>VLOOKUP(Tabla3[[#This Row],[Tipo]],TIPO[#All],2,0)</f>
        <v>ET</v>
      </c>
      <c r="O228" s="13" t="str">
        <f>VLOOKUP(Tabla3[[#This Row],[Lugar]],LUGAR[#All],2,0)</f>
        <v>VMN</v>
      </c>
      <c r="P228" s="13" t="str">
        <f>Tabla3[[#This Row],[SIGLAS]]</f>
        <v>TR3</v>
      </c>
      <c r="Q228" s="13" t="str">
        <f>_xlfn.IFNA(VLOOKUP(Tabla3[[#This Row],[Nivel de tension]],NIVEL[#All],2,0),"")</f>
        <v/>
      </c>
      <c r="R228" s="13" t="str">
        <f>_xlfn.IFNA(VLOOKUP(Tabla3[[#This Row],[DISPOSITIVO]],DISPOSITIVO[],2,0),"")</f>
        <v>87_</v>
      </c>
      <c r="S228" s="13" t="str">
        <f>_xlfn.IFNA(VLOOKUP(Tabla3[[#This Row],[PROTECCION SECUNDARIA]],PROTECCION_SECUNDARIA[],2,0),"")</f>
        <v/>
      </c>
      <c r="T228" s="13" t="str">
        <f>_xlfn.IFNA(VLOOKUP(Tabla3[[#This Row],[Que]],QUE[#All],2,0),"")</f>
        <v>DI</v>
      </c>
      <c r="U228" s="13" t="str">
        <f>_xlfn.IFNA(VLOOKUP(Tabla3[[#This Row],[Señal]],SEÑAL[#All],2,0),"")</f>
        <v>BZ</v>
      </c>
      <c r="V228" s="13" t="str">
        <f>_xlfn.IFNA(VLOOKUP(Tabla3[[#This Row],[NUMERO]],SEÑAL[#All],2,0),"")</f>
        <v/>
      </c>
    </row>
    <row r="229" spans="1:22" x14ac:dyDescent="0.25">
      <c r="A229" s="26" t="s">
        <v>1027</v>
      </c>
      <c r="B229" s="2" t="s">
        <v>8</v>
      </c>
      <c r="C229" s="2" t="s">
        <v>89</v>
      </c>
      <c r="D229" s="2" t="s">
        <v>109</v>
      </c>
      <c r="E229" s="2" t="s">
        <v>1381</v>
      </c>
      <c r="G229" s="2" t="s">
        <v>358</v>
      </c>
      <c r="I229" s="2" t="s">
        <v>434</v>
      </c>
      <c r="J229" t="s">
        <v>810</v>
      </c>
      <c r="K229"/>
      <c r="L22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ETVMN.TR3.87_DITE</v>
      </c>
      <c r="N229" s="13" t="str">
        <f>VLOOKUP(Tabla3[[#This Row],[Tipo]],TIPO[#All],2,0)</f>
        <v>ET</v>
      </c>
      <c r="O229" s="13" t="str">
        <f>VLOOKUP(Tabla3[[#This Row],[Lugar]],LUGAR[#All],2,0)</f>
        <v>VMN</v>
      </c>
      <c r="P229" s="13" t="str">
        <f>Tabla3[[#This Row],[SIGLAS]]</f>
        <v>TR3</v>
      </c>
      <c r="Q229" s="13" t="str">
        <f>_xlfn.IFNA(VLOOKUP(Tabla3[[#This Row],[Nivel de tension]],NIVEL[#All],2,0),"")</f>
        <v/>
      </c>
      <c r="R229" s="13" t="str">
        <f>_xlfn.IFNA(VLOOKUP(Tabla3[[#This Row],[DISPOSITIVO]],DISPOSITIVO[],2,0),"")</f>
        <v>87_</v>
      </c>
      <c r="S229" s="13" t="str">
        <f>_xlfn.IFNA(VLOOKUP(Tabla3[[#This Row],[PROTECCION SECUNDARIA]],PROTECCION_SECUNDARIA[],2,0),"")</f>
        <v/>
      </c>
      <c r="T229" s="13" t="str">
        <f>_xlfn.IFNA(VLOOKUP(Tabla3[[#This Row],[Que]],QUE[#All],2,0),"")</f>
        <v>DI</v>
      </c>
      <c r="U229" s="13" t="str">
        <f>_xlfn.IFNA(VLOOKUP(Tabla3[[#This Row],[Señal]],SEÑAL[#All],2,0),"")</f>
        <v>TE</v>
      </c>
      <c r="V229" s="13" t="str">
        <f>_xlfn.IFNA(VLOOKUP(Tabla3[[#This Row],[NUMERO]],SEÑAL[#All],2,0),"")</f>
        <v/>
      </c>
    </row>
    <row r="230" spans="1:22" x14ac:dyDescent="0.25">
      <c r="A230" s="26" t="s">
        <v>1028</v>
      </c>
      <c r="B230" s="2" t="s">
        <v>8</v>
      </c>
      <c r="C230" s="2" t="s">
        <v>89</v>
      </c>
      <c r="D230" s="2" t="s">
        <v>109</v>
      </c>
      <c r="E230" s="2" t="s">
        <v>1381</v>
      </c>
      <c r="G230" s="2" t="s">
        <v>358</v>
      </c>
      <c r="I230" s="2" t="s">
        <v>434</v>
      </c>
      <c r="J230" t="s">
        <v>762</v>
      </c>
      <c r="K230"/>
      <c r="L23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ETVMN.TR3.87_DINIAC</v>
      </c>
      <c r="N230" s="13" t="str">
        <f>VLOOKUP(Tabla3[[#This Row],[Tipo]],TIPO[#All],2,0)</f>
        <v>ET</v>
      </c>
      <c r="O230" s="13" t="str">
        <f>VLOOKUP(Tabla3[[#This Row],[Lugar]],LUGAR[#All],2,0)</f>
        <v>VMN</v>
      </c>
      <c r="P230" s="13" t="str">
        <f>Tabla3[[#This Row],[SIGLAS]]</f>
        <v>TR3</v>
      </c>
      <c r="Q230" s="13" t="str">
        <f>_xlfn.IFNA(VLOOKUP(Tabla3[[#This Row],[Nivel de tension]],NIVEL[#All],2,0),"")</f>
        <v/>
      </c>
      <c r="R230" s="13" t="str">
        <f>_xlfn.IFNA(VLOOKUP(Tabla3[[#This Row],[DISPOSITIVO]],DISPOSITIVO[],2,0),"")</f>
        <v>87_</v>
      </c>
      <c r="S230" s="13" t="str">
        <f>_xlfn.IFNA(VLOOKUP(Tabla3[[#This Row],[PROTECCION SECUNDARIA]],PROTECCION_SECUNDARIA[],2,0),"")</f>
        <v/>
      </c>
      <c r="T230" s="13" t="str">
        <f>_xlfn.IFNA(VLOOKUP(Tabla3[[#This Row],[Que]],QUE[#All],2,0),"")</f>
        <v>DI</v>
      </c>
      <c r="U230" s="13" t="str">
        <f>_xlfn.IFNA(VLOOKUP(Tabla3[[#This Row],[Señal]],SEÑAL[#All],2,0),"")</f>
        <v>NIAC</v>
      </c>
      <c r="V230" s="13" t="str">
        <f>_xlfn.IFNA(VLOOKUP(Tabla3[[#This Row],[NUMERO]],SEÑAL[#All],2,0),"")</f>
        <v/>
      </c>
    </row>
    <row r="231" spans="1:22" x14ac:dyDescent="0.25">
      <c r="A231" s="26" t="s">
        <v>1029</v>
      </c>
      <c r="B231" s="2" t="s">
        <v>8</v>
      </c>
      <c r="C231" s="2" t="s">
        <v>89</v>
      </c>
      <c r="D231" s="2" t="s">
        <v>109</v>
      </c>
      <c r="E231" s="2" t="s">
        <v>1381</v>
      </c>
      <c r="F231" s="2" t="s">
        <v>14</v>
      </c>
      <c r="G231" s="2" t="s">
        <v>358</v>
      </c>
      <c r="I231" s="2" t="s">
        <v>434</v>
      </c>
      <c r="J231" t="s">
        <v>738</v>
      </c>
      <c r="K231"/>
      <c r="L23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ETVMN.TR3.387_DIIMTE</v>
      </c>
      <c r="N231" s="13" t="str">
        <f>VLOOKUP(Tabla3[[#This Row],[Tipo]],TIPO[#All],2,0)</f>
        <v>ET</v>
      </c>
      <c r="O231" s="13" t="str">
        <f>VLOOKUP(Tabla3[[#This Row],[Lugar]],LUGAR[#All],2,0)</f>
        <v>VMN</v>
      </c>
      <c r="P231" s="13" t="str">
        <f>Tabla3[[#This Row],[SIGLAS]]</f>
        <v>TR3</v>
      </c>
      <c r="Q231" s="13">
        <f>_xlfn.IFNA(VLOOKUP(Tabla3[[#This Row],[Nivel de tension]],NIVEL[#All],2,0),"")</f>
        <v>3</v>
      </c>
      <c r="R231" s="13" t="str">
        <f>_xlfn.IFNA(VLOOKUP(Tabla3[[#This Row],[DISPOSITIVO]],DISPOSITIVO[],2,0),"")</f>
        <v>87_</v>
      </c>
      <c r="S231" s="13" t="str">
        <f>_xlfn.IFNA(VLOOKUP(Tabla3[[#This Row],[PROTECCION SECUNDARIA]],PROTECCION_SECUNDARIA[],2,0),"")</f>
        <v/>
      </c>
      <c r="T231" s="13" t="str">
        <f>_xlfn.IFNA(VLOOKUP(Tabla3[[#This Row],[Que]],QUE[#All],2,0),"")</f>
        <v>DI</v>
      </c>
      <c r="U231" s="13" t="str">
        <f>_xlfn.IFNA(VLOOKUP(Tabla3[[#This Row],[Señal]],SEÑAL[#All],2,0),"")</f>
        <v>IMTE</v>
      </c>
      <c r="V231" s="13" t="str">
        <f>_xlfn.IFNA(VLOOKUP(Tabla3[[#This Row],[NUMERO]],SEÑAL[#All],2,0),"")</f>
        <v/>
      </c>
    </row>
    <row r="232" spans="1:22" x14ac:dyDescent="0.25">
      <c r="A232" s="26" t="s">
        <v>1030</v>
      </c>
      <c r="B232" s="2" t="s">
        <v>8</v>
      </c>
      <c r="C232" s="2" t="s">
        <v>89</v>
      </c>
      <c r="D232" s="2" t="s">
        <v>109</v>
      </c>
      <c r="E232" s="2" t="s">
        <v>1381</v>
      </c>
      <c r="F232" s="2" t="s">
        <v>10</v>
      </c>
      <c r="G232" s="2" t="s">
        <v>358</v>
      </c>
      <c r="I232" s="2" t="s">
        <v>434</v>
      </c>
      <c r="J232" t="s">
        <v>738</v>
      </c>
      <c r="K232"/>
      <c r="L23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ETVMN.TR3.287_DIIMTE</v>
      </c>
      <c r="N232" s="13" t="str">
        <f>VLOOKUP(Tabla3[[#This Row],[Tipo]],TIPO[#All],2,0)</f>
        <v>ET</v>
      </c>
      <c r="O232" s="13" t="str">
        <f>VLOOKUP(Tabla3[[#This Row],[Lugar]],LUGAR[#All],2,0)</f>
        <v>VMN</v>
      </c>
      <c r="P232" s="13" t="str">
        <f>Tabla3[[#This Row],[SIGLAS]]</f>
        <v>TR3</v>
      </c>
      <c r="Q232" s="13">
        <f>_xlfn.IFNA(VLOOKUP(Tabla3[[#This Row],[Nivel de tension]],NIVEL[#All],2,0),"")</f>
        <v>2</v>
      </c>
      <c r="R232" s="13" t="str">
        <f>_xlfn.IFNA(VLOOKUP(Tabla3[[#This Row],[DISPOSITIVO]],DISPOSITIVO[],2,0),"")</f>
        <v>87_</v>
      </c>
      <c r="S232" s="13" t="str">
        <f>_xlfn.IFNA(VLOOKUP(Tabla3[[#This Row],[PROTECCION SECUNDARIA]],PROTECCION_SECUNDARIA[],2,0),"")</f>
        <v/>
      </c>
      <c r="T232" s="13" t="str">
        <f>_xlfn.IFNA(VLOOKUP(Tabla3[[#This Row],[Que]],QUE[#All],2,0),"")</f>
        <v>DI</v>
      </c>
      <c r="U232" s="13" t="str">
        <f>_xlfn.IFNA(VLOOKUP(Tabla3[[#This Row],[Señal]],SEÑAL[#All],2,0),"")</f>
        <v>IMTE</v>
      </c>
      <c r="V232" s="13" t="str">
        <f>_xlfn.IFNA(VLOOKUP(Tabla3[[#This Row],[NUMERO]],SEÑAL[#All],2,0),"")</f>
        <v/>
      </c>
    </row>
    <row r="233" spans="1:22" x14ac:dyDescent="0.25">
      <c r="A233" s="26" t="s">
        <v>1031</v>
      </c>
      <c r="B233" s="2" t="s">
        <v>8</v>
      </c>
      <c r="C233" s="2" t="s">
        <v>89</v>
      </c>
      <c r="D233" s="2" t="s">
        <v>109</v>
      </c>
      <c r="E233" s="2" t="s">
        <v>1381</v>
      </c>
      <c r="F233" s="2" t="s">
        <v>3</v>
      </c>
      <c r="G233" s="2" t="s">
        <v>358</v>
      </c>
      <c r="I233" s="2" t="s">
        <v>434</v>
      </c>
      <c r="J233" t="s">
        <v>738</v>
      </c>
      <c r="K233"/>
      <c r="L23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ETVMN.TR3.187_DIIMTE</v>
      </c>
      <c r="N233" s="13" t="str">
        <f>VLOOKUP(Tabla3[[#This Row],[Tipo]],TIPO[#All],2,0)</f>
        <v>ET</v>
      </c>
      <c r="O233" s="13" t="str">
        <f>VLOOKUP(Tabla3[[#This Row],[Lugar]],LUGAR[#All],2,0)</f>
        <v>VMN</v>
      </c>
      <c r="P233" s="13" t="str">
        <f>Tabla3[[#This Row],[SIGLAS]]</f>
        <v>TR3</v>
      </c>
      <c r="Q233" s="13">
        <f>_xlfn.IFNA(VLOOKUP(Tabla3[[#This Row],[Nivel de tension]],NIVEL[#All],2,0),"")</f>
        <v>1</v>
      </c>
      <c r="R233" s="13" t="str">
        <f>_xlfn.IFNA(VLOOKUP(Tabla3[[#This Row],[DISPOSITIVO]],DISPOSITIVO[],2,0),"")</f>
        <v>87_</v>
      </c>
      <c r="S233" s="13" t="str">
        <f>_xlfn.IFNA(VLOOKUP(Tabla3[[#This Row],[PROTECCION SECUNDARIA]],PROTECCION_SECUNDARIA[],2,0),"")</f>
        <v/>
      </c>
      <c r="T233" s="13" t="str">
        <f>_xlfn.IFNA(VLOOKUP(Tabla3[[#This Row],[Que]],QUE[#All],2,0),"")</f>
        <v>DI</v>
      </c>
      <c r="U233" s="13" t="str">
        <f>_xlfn.IFNA(VLOOKUP(Tabla3[[#This Row],[Señal]],SEÑAL[#All],2,0),"")</f>
        <v>IMTE</v>
      </c>
      <c r="V233" s="13" t="str">
        <f>_xlfn.IFNA(VLOOKUP(Tabla3[[#This Row],[NUMERO]],SEÑAL[#All],2,0),"")</f>
        <v/>
      </c>
    </row>
    <row r="234" spans="1:22" x14ac:dyDescent="0.25">
      <c r="A234" s="26" t="s">
        <v>1032</v>
      </c>
      <c r="B234" s="2" t="s">
        <v>8</v>
      </c>
      <c r="C234" s="2" t="s">
        <v>89</v>
      </c>
      <c r="D234" s="2" t="s">
        <v>109</v>
      </c>
      <c r="E234" s="2" t="s">
        <v>1381</v>
      </c>
      <c r="G234" s="2" t="s">
        <v>369</v>
      </c>
      <c r="I234" s="2" t="s">
        <v>434</v>
      </c>
      <c r="J234" t="s">
        <v>762</v>
      </c>
      <c r="K234"/>
      <c r="L23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ETVMN.TR3.RBC_DINIAC</v>
      </c>
      <c r="N234" s="13" t="str">
        <f>VLOOKUP(Tabla3[[#This Row],[Tipo]],TIPO[#All],2,0)</f>
        <v>ET</v>
      </c>
      <c r="O234" s="13" t="str">
        <f>VLOOKUP(Tabla3[[#This Row],[Lugar]],LUGAR[#All],2,0)</f>
        <v>VMN</v>
      </c>
      <c r="P234" s="13" t="str">
        <f>Tabla3[[#This Row],[SIGLAS]]</f>
        <v>TR3</v>
      </c>
      <c r="Q234" s="13" t="str">
        <f>_xlfn.IFNA(VLOOKUP(Tabla3[[#This Row],[Nivel de tension]],NIVEL[#All],2,0),"")</f>
        <v/>
      </c>
      <c r="R234" s="13" t="str">
        <f>_xlfn.IFNA(VLOOKUP(Tabla3[[#This Row],[DISPOSITIVO]],DISPOSITIVO[],2,0),"")</f>
        <v>RBC_</v>
      </c>
      <c r="S234" s="13" t="str">
        <f>_xlfn.IFNA(VLOOKUP(Tabla3[[#This Row],[PROTECCION SECUNDARIA]],PROTECCION_SECUNDARIA[],2,0),"")</f>
        <v/>
      </c>
      <c r="T234" s="13" t="str">
        <f>_xlfn.IFNA(VLOOKUP(Tabla3[[#This Row],[Que]],QUE[#All],2,0),"")</f>
        <v>DI</v>
      </c>
      <c r="U234" s="13" t="str">
        <f>_xlfn.IFNA(VLOOKUP(Tabla3[[#This Row],[Señal]],SEÑAL[#All],2,0),"")</f>
        <v>NIAC</v>
      </c>
      <c r="V234" s="13" t="str">
        <f>_xlfn.IFNA(VLOOKUP(Tabla3[[#This Row],[NUMERO]],SEÑAL[#All],2,0),"")</f>
        <v/>
      </c>
    </row>
    <row r="235" spans="1:22" x14ac:dyDescent="0.25">
      <c r="A235" s="26" t="s">
        <v>1033</v>
      </c>
      <c r="B235" s="2" t="s">
        <v>8</v>
      </c>
      <c r="C235" s="2" t="s">
        <v>89</v>
      </c>
      <c r="D235" s="2" t="s">
        <v>109</v>
      </c>
      <c r="E235" s="2" t="s">
        <v>1381</v>
      </c>
      <c r="G235" s="2" t="s">
        <v>369</v>
      </c>
      <c r="I235" s="2" t="s">
        <v>434</v>
      </c>
      <c r="J235" t="s">
        <v>716</v>
      </c>
      <c r="K235"/>
      <c r="L23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ETVMN.TR3.RBC_DIBZ</v>
      </c>
      <c r="N235" s="13" t="str">
        <f>VLOOKUP(Tabla3[[#This Row],[Tipo]],TIPO[#All],2,0)</f>
        <v>ET</v>
      </c>
      <c r="O235" s="13" t="str">
        <f>VLOOKUP(Tabla3[[#This Row],[Lugar]],LUGAR[#All],2,0)</f>
        <v>VMN</v>
      </c>
      <c r="P235" s="13" t="str">
        <f>Tabla3[[#This Row],[SIGLAS]]</f>
        <v>TR3</v>
      </c>
      <c r="Q235" s="13" t="str">
        <f>_xlfn.IFNA(VLOOKUP(Tabla3[[#This Row],[Nivel de tension]],NIVEL[#All],2,0),"")</f>
        <v/>
      </c>
      <c r="R235" s="13" t="str">
        <f>_xlfn.IFNA(VLOOKUP(Tabla3[[#This Row],[DISPOSITIVO]],DISPOSITIVO[],2,0),"")</f>
        <v>RBC_</v>
      </c>
      <c r="S235" s="13" t="str">
        <f>_xlfn.IFNA(VLOOKUP(Tabla3[[#This Row],[PROTECCION SECUNDARIA]],PROTECCION_SECUNDARIA[],2,0),"")</f>
        <v/>
      </c>
      <c r="T235" s="13" t="str">
        <f>_xlfn.IFNA(VLOOKUP(Tabla3[[#This Row],[Que]],QUE[#All],2,0),"")</f>
        <v>DI</v>
      </c>
      <c r="U235" s="13" t="str">
        <f>_xlfn.IFNA(VLOOKUP(Tabla3[[#This Row],[Señal]],SEÑAL[#All],2,0),"")</f>
        <v>BZ</v>
      </c>
      <c r="V235" s="13" t="str">
        <f>_xlfn.IFNA(VLOOKUP(Tabla3[[#This Row],[NUMERO]],SEÑAL[#All],2,0),"")</f>
        <v/>
      </c>
    </row>
    <row r="236" spans="1:22" x14ac:dyDescent="0.25">
      <c r="A236" s="26" t="s">
        <v>1034</v>
      </c>
      <c r="B236" s="2" t="s">
        <v>8</v>
      </c>
      <c r="C236" s="2" t="s">
        <v>89</v>
      </c>
      <c r="D236" s="2" t="s">
        <v>109</v>
      </c>
      <c r="E236" s="2" t="s">
        <v>1381</v>
      </c>
      <c r="F236" s="2" t="s">
        <v>14</v>
      </c>
      <c r="G236" s="2" t="s">
        <v>358</v>
      </c>
      <c r="I236" s="2" t="s">
        <v>395</v>
      </c>
      <c r="J236" t="s">
        <v>611</v>
      </c>
      <c r="K236"/>
      <c r="L23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ETVMN.TR3.387_A_R</v>
      </c>
      <c r="N236" s="13" t="str">
        <f>VLOOKUP(Tabla3[[#This Row],[Tipo]],TIPO[#All],2,0)</f>
        <v>ET</v>
      </c>
      <c r="O236" s="13" t="str">
        <f>VLOOKUP(Tabla3[[#This Row],[Lugar]],LUGAR[#All],2,0)</f>
        <v>VMN</v>
      </c>
      <c r="P236" s="13" t="str">
        <f>Tabla3[[#This Row],[SIGLAS]]</f>
        <v>TR3</v>
      </c>
      <c r="Q236" s="13">
        <f>_xlfn.IFNA(VLOOKUP(Tabla3[[#This Row],[Nivel de tension]],NIVEL[#All],2,0),"")</f>
        <v>3</v>
      </c>
      <c r="R236" s="13" t="str">
        <f>_xlfn.IFNA(VLOOKUP(Tabla3[[#This Row],[DISPOSITIVO]],DISPOSITIVO[],2,0),"")</f>
        <v>87_</v>
      </c>
      <c r="S236" s="13" t="str">
        <f>_xlfn.IFNA(VLOOKUP(Tabla3[[#This Row],[PROTECCION SECUNDARIA]],PROTECCION_SECUNDARIA[],2,0),"")</f>
        <v/>
      </c>
      <c r="T236" s="13" t="str">
        <f>_xlfn.IFNA(VLOOKUP(Tabla3[[#This Row],[Que]],QUE[#All],2,0),"")</f>
        <v>A</v>
      </c>
      <c r="U236" s="13" t="str">
        <f>_xlfn.IFNA(VLOOKUP(Tabla3[[#This Row],[Señal]],SEÑAL[#All],2,0),"")</f>
        <v>_R</v>
      </c>
      <c r="V236" s="13" t="str">
        <f>_xlfn.IFNA(VLOOKUP(Tabla3[[#This Row],[NUMERO]],SEÑAL[#All],2,0),"")</f>
        <v/>
      </c>
    </row>
    <row r="237" spans="1:22" x14ac:dyDescent="0.25">
      <c r="A237" s="26" t="s">
        <v>1035</v>
      </c>
      <c r="B237" s="2" t="s">
        <v>8</v>
      </c>
      <c r="C237" s="2" t="s">
        <v>89</v>
      </c>
      <c r="D237" s="2" t="s">
        <v>109</v>
      </c>
      <c r="E237" s="2" t="s">
        <v>1381</v>
      </c>
      <c r="F237" s="2" t="s">
        <v>14</v>
      </c>
      <c r="G237" s="2" t="s">
        <v>358</v>
      </c>
      <c r="I237" s="2" t="s">
        <v>395</v>
      </c>
      <c r="J237" t="s">
        <v>634</v>
      </c>
      <c r="K237"/>
      <c r="L23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ETVMN.TR3.387_A_S</v>
      </c>
      <c r="N237" s="13" t="str">
        <f>VLOOKUP(Tabla3[[#This Row],[Tipo]],TIPO[#All],2,0)</f>
        <v>ET</v>
      </c>
      <c r="O237" s="13" t="str">
        <f>VLOOKUP(Tabla3[[#This Row],[Lugar]],LUGAR[#All],2,0)</f>
        <v>VMN</v>
      </c>
      <c r="P237" s="13" t="str">
        <f>Tabla3[[#This Row],[SIGLAS]]</f>
        <v>TR3</v>
      </c>
      <c r="Q237" s="13">
        <f>_xlfn.IFNA(VLOOKUP(Tabla3[[#This Row],[Nivel de tension]],NIVEL[#All],2,0),"")</f>
        <v>3</v>
      </c>
      <c r="R237" s="13" t="str">
        <f>_xlfn.IFNA(VLOOKUP(Tabla3[[#This Row],[DISPOSITIVO]],DISPOSITIVO[],2,0),"")</f>
        <v>87_</v>
      </c>
      <c r="S237" s="13" t="str">
        <f>_xlfn.IFNA(VLOOKUP(Tabla3[[#This Row],[PROTECCION SECUNDARIA]],PROTECCION_SECUNDARIA[],2,0),"")</f>
        <v/>
      </c>
      <c r="T237" s="13" t="str">
        <f>_xlfn.IFNA(VLOOKUP(Tabla3[[#This Row],[Que]],QUE[#All],2,0),"")</f>
        <v>A</v>
      </c>
      <c r="U237" s="13" t="str">
        <f>_xlfn.IFNA(VLOOKUP(Tabla3[[#This Row],[Señal]],SEÑAL[#All],2,0),"")</f>
        <v>_S</v>
      </c>
      <c r="V237" s="13" t="str">
        <f>_xlfn.IFNA(VLOOKUP(Tabla3[[#This Row],[NUMERO]],SEÑAL[#All],2,0),"")</f>
        <v/>
      </c>
    </row>
    <row r="238" spans="1:22" x14ac:dyDescent="0.25">
      <c r="A238" s="26" t="s">
        <v>1036</v>
      </c>
      <c r="B238" s="2" t="s">
        <v>8</v>
      </c>
      <c r="C238" s="2" t="s">
        <v>89</v>
      </c>
      <c r="D238" s="2" t="s">
        <v>109</v>
      </c>
      <c r="E238" s="2" t="s">
        <v>1381</v>
      </c>
      <c r="F238" s="2" t="s">
        <v>14</v>
      </c>
      <c r="G238" s="2" t="s">
        <v>358</v>
      </c>
      <c r="I238" s="2" t="s">
        <v>395</v>
      </c>
      <c r="J238" t="s">
        <v>647</v>
      </c>
      <c r="K238"/>
      <c r="L23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ETVMN.TR3.387_A_T</v>
      </c>
      <c r="N238" s="13" t="str">
        <f>VLOOKUP(Tabla3[[#This Row],[Tipo]],TIPO[#All],2,0)</f>
        <v>ET</v>
      </c>
      <c r="O238" s="13" t="str">
        <f>VLOOKUP(Tabla3[[#This Row],[Lugar]],LUGAR[#All],2,0)</f>
        <v>VMN</v>
      </c>
      <c r="P238" s="13" t="str">
        <f>Tabla3[[#This Row],[SIGLAS]]</f>
        <v>TR3</v>
      </c>
      <c r="Q238" s="13">
        <f>_xlfn.IFNA(VLOOKUP(Tabla3[[#This Row],[Nivel de tension]],NIVEL[#All],2,0),"")</f>
        <v>3</v>
      </c>
      <c r="R238" s="13" t="str">
        <f>_xlfn.IFNA(VLOOKUP(Tabla3[[#This Row],[DISPOSITIVO]],DISPOSITIVO[],2,0),"")</f>
        <v>87_</v>
      </c>
      <c r="S238" s="13" t="str">
        <f>_xlfn.IFNA(VLOOKUP(Tabla3[[#This Row],[PROTECCION SECUNDARIA]],PROTECCION_SECUNDARIA[],2,0),"")</f>
        <v/>
      </c>
      <c r="T238" s="13" t="str">
        <f>_xlfn.IFNA(VLOOKUP(Tabla3[[#This Row],[Que]],QUE[#All],2,0),"")</f>
        <v>A</v>
      </c>
      <c r="U238" s="13" t="str">
        <f>_xlfn.IFNA(VLOOKUP(Tabla3[[#This Row],[Señal]],SEÑAL[#All],2,0),"")</f>
        <v>_T</v>
      </c>
      <c r="V238" s="13" t="str">
        <f>_xlfn.IFNA(VLOOKUP(Tabla3[[#This Row],[NUMERO]],SEÑAL[#All],2,0),"")</f>
        <v/>
      </c>
    </row>
    <row r="239" spans="1:22" x14ac:dyDescent="0.25">
      <c r="A239" s="26" t="s">
        <v>1037</v>
      </c>
      <c r="B239" s="2" t="s">
        <v>8</v>
      </c>
      <c r="C239" s="2" t="s">
        <v>89</v>
      </c>
      <c r="D239" s="2" t="s">
        <v>109</v>
      </c>
      <c r="E239" s="2" t="s">
        <v>1381</v>
      </c>
      <c r="F239" s="2" t="s">
        <v>10</v>
      </c>
      <c r="G239" s="2" t="s">
        <v>358</v>
      </c>
      <c r="I239" s="2" t="s">
        <v>395</v>
      </c>
      <c r="J239" t="s">
        <v>611</v>
      </c>
      <c r="K239"/>
      <c r="L23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ETVMN.TR3.287_A_R</v>
      </c>
      <c r="N239" s="13" t="str">
        <f>VLOOKUP(Tabla3[[#This Row],[Tipo]],TIPO[#All],2,0)</f>
        <v>ET</v>
      </c>
      <c r="O239" s="13" t="str">
        <f>VLOOKUP(Tabla3[[#This Row],[Lugar]],LUGAR[#All],2,0)</f>
        <v>VMN</v>
      </c>
      <c r="P239" s="13" t="str">
        <f>Tabla3[[#This Row],[SIGLAS]]</f>
        <v>TR3</v>
      </c>
      <c r="Q239" s="13">
        <f>_xlfn.IFNA(VLOOKUP(Tabla3[[#This Row],[Nivel de tension]],NIVEL[#All],2,0),"")</f>
        <v>2</v>
      </c>
      <c r="R239" s="13" t="str">
        <f>_xlfn.IFNA(VLOOKUP(Tabla3[[#This Row],[DISPOSITIVO]],DISPOSITIVO[],2,0),"")</f>
        <v>87_</v>
      </c>
      <c r="S239" s="13" t="str">
        <f>_xlfn.IFNA(VLOOKUP(Tabla3[[#This Row],[PROTECCION SECUNDARIA]],PROTECCION_SECUNDARIA[],2,0),"")</f>
        <v/>
      </c>
      <c r="T239" s="13" t="str">
        <f>_xlfn.IFNA(VLOOKUP(Tabla3[[#This Row],[Que]],QUE[#All],2,0),"")</f>
        <v>A</v>
      </c>
      <c r="U239" s="13" t="str">
        <f>_xlfn.IFNA(VLOOKUP(Tabla3[[#This Row],[Señal]],SEÑAL[#All],2,0),"")</f>
        <v>_R</v>
      </c>
      <c r="V239" s="13" t="str">
        <f>_xlfn.IFNA(VLOOKUP(Tabla3[[#This Row],[NUMERO]],SEÑAL[#All],2,0),"")</f>
        <v/>
      </c>
    </row>
    <row r="240" spans="1:22" x14ac:dyDescent="0.25">
      <c r="A240" s="26" t="s">
        <v>1038</v>
      </c>
      <c r="B240" s="2" t="s">
        <v>8</v>
      </c>
      <c r="C240" s="2" t="s">
        <v>89</v>
      </c>
      <c r="D240" s="2" t="s">
        <v>109</v>
      </c>
      <c r="E240" s="2" t="s">
        <v>1381</v>
      </c>
      <c r="F240" s="2" t="s">
        <v>10</v>
      </c>
      <c r="G240" s="2" t="s">
        <v>358</v>
      </c>
      <c r="I240" s="2" t="s">
        <v>395</v>
      </c>
      <c r="J240" t="s">
        <v>634</v>
      </c>
      <c r="K240"/>
      <c r="L24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ETVMN.TR3.287_A_S</v>
      </c>
      <c r="N240" s="13" t="str">
        <f>VLOOKUP(Tabla3[[#This Row],[Tipo]],TIPO[#All],2,0)</f>
        <v>ET</v>
      </c>
      <c r="O240" s="13" t="str">
        <f>VLOOKUP(Tabla3[[#This Row],[Lugar]],LUGAR[#All],2,0)</f>
        <v>VMN</v>
      </c>
      <c r="P240" s="13" t="str">
        <f>Tabla3[[#This Row],[SIGLAS]]</f>
        <v>TR3</v>
      </c>
      <c r="Q240" s="13">
        <f>_xlfn.IFNA(VLOOKUP(Tabla3[[#This Row],[Nivel de tension]],NIVEL[#All],2,0),"")</f>
        <v>2</v>
      </c>
      <c r="R240" s="13" t="str">
        <f>_xlfn.IFNA(VLOOKUP(Tabla3[[#This Row],[DISPOSITIVO]],DISPOSITIVO[],2,0),"")</f>
        <v>87_</v>
      </c>
      <c r="S240" s="13" t="str">
        <f>_xlfn.IFNA(VLOOKUP(Tabla3[[#This Row],[PROTECCION SECUNDARIA]],PROTECCION_SECUNDARIA[],2,0),"")</f>
        <v/>
      </c>
      <c r="T240" s="13" t="str">
        <f>_xlfn.IFNA(VLOOKUP(Tabla3[[#This Row],[Que]],QUE[#All],2,0),"")</f>
        <v>A</v>
      </c>
      <c r="U240" s="13" t="str">
        <f>_xlfn.IFNA(VLOOKUP(Tabla3[[#This Row],[Señal]],SEÑAL[#All],2,0),"")</f>
        <v>_S</v>
      </c>
      <c r="V240" s="13" t="str">
        <f>_xlfn.IFNA(VLOOKUP(Tabla3[[#This Row],[NUMERO]],SEÑAL[#All],2,0),"")</f>
        <v/>
      </c>
    </row>
    <row r="241" spans="1:22" x14ac:dyDescent="0.25">
      <c r="A241" s="26" t="s">
        <v>1039</v>
      </c>
      <c r="B241" s="2" t="s">
        <v>8</v>
      </c>
      <c r="C241" s="2" t="s">
        <v>89</v>
      </c>
      <c r="D241" s="2" t="s">
        <v>109</v>
      </c>
      <c r="E241" s="2" t="s">
        <v>1381</v>
      </c>
      <c r="F241" s="2" t="s">
        <v>10</v>
      </c>
      <c r="G241" s="2" t="s">
        <v>358</v>
      </c>
      <c r="I241" s="2" t="s">
        <v>395</v>
      </c>
      <c r="J241" t="s">
        <v>647</v>
      </c>
      <c r="K241"/>
      <c r="L24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ETVMN.TR3.287_A_T</v>
      </c>
      <c r="N241" s="13" t="str">
        <f>VLOOKUP(Tabla3[[#This Row],[Tipo]],TIPO[#All],2,0)</f>
        <v>ET</v>
      </c>
      <c r="O241" s="13" t="str">
        <f>VLOOKUP(Tabla3[[#This Row],[Lugar]],LUGAR[#All],2,0)</f>
        <v>VMN</v>
      </c>
      <c r="P241" s="13" t="str">
        <f>Tabla3[[#This Row],[SIGLAS]]</f>
        <v>TR3</v>
      </c>
      <c r="Q241" s="13">
        <f>_xlfn.IFNA(VLOOKUP(Tabla3[[#This Row],[Nivel de tension]],NIVEL[#All],2,0),"")</f>
        <v>2</v>
      </c>
      <c r="R241" s="13" t="str">
        <f>_xlfn.IFNA(VLOOKUP(Tabla3[[#This Row],[DISPOSITIVO]],DISPOSITIVO[],2,0),"")</f>
        <v>87_</v>
      </c>
      <c r="S241" s="13" t="str">
        <f>_xlfn.IFNA(VLOOKUP(Tabla3[[#This Row],[PROTECCION SECUNDARIA]],PROTECCION_SECUNDARIA[],2,0),"")</f>
        <v/>
      </c>
      <c r="T241" s="13" t="str">
        <f>_xlfn.IFNA(VLOOKUP(Tabla3[[#This Row],[Que]],QUE[#All],2,0),"")</f>
        <v>A</v>
      </c>
      <c r="U241" s="13" t="str">
        <f>_xlfn.IFNA(VLOOKUP(Tabla3[[#This Row],[Señal]],SEÑAL[#All],2,0),"")</f>
        <v>_T</v>
      </c>
      <c r="V241" s="13" t="str">
        <f>_xlfn.IFNA(VLOOKUP(Tabla3[[#This Row],[NUMERO]],SEÑAL[#All],2,0),"")</f>
        <v/>
      </c>
    </row>
    <row r="242" spans="1:22" x14ac:dyDescent="0.25">
      <c r="A242" s="26" t="s">
        <v>1040</v>
      </c>
      <c r="B242" s="2" t="s">
        <v>8</v>
      </c>
      <c r="C242" s="2" t="s">
        <v>89</v>
      </c>
      <c r="D242" s="2" t="s">
        <v>109</v>
      </c>
      <c r="E242" s="2" t="s">
        <v>1381</v>
      </c>
      <c r="F242" s="2" t="s">
        <v>3</v>
      </c>
      <c r="G242" s="2" t="s">
        <v>358</v>
      </c>
      <c r="I242" s="2" t="s">
        <v>395</v>
      </c>
      <c r="J242" t="s">
        <v>611</v>
      </c>
      <c r="K242"/>
      <c r="L24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ETVMN.TR3.187_A_R</v>
      </c>
      <c r="N242" s="13" t="str">
        <f>VLOOKUP(Tabla3[[#This Row],[Tipo]],TIPO[#All],2,0)</f>
        <v>ET</v>
      </c>
      <c r="O242" s="13" t="str">
        <f>VLOOKUP(Tabla3[[#This Row],[Lugar]],LUGAR[#All],2,0)</f>
        <v>VMN</v>
      </c>
      <c r="P242" s="13" t="str">
        <f>Tabla3[[#This Row],[SIGLAS]]</f>
        <v>TR3</v>
      </c>
      <c r="Q242" s="13">
        <f>_xlfn.IFNA(VLOOKUP(Tabla3[[#This Row],[Nivel de tension]],NIVEL[#All],2,0),"")</f>
        <v>1</v>
      </c>
      <c r="R242" s="13" t="str">
        <f>_xlfn.IFNA(VLOOKUP(Tabla3[[#This Row],[DISPOSITIVO]],DISPOSITIVO[],2,0),"")</f>
        <v>87_</v>
      </c>
      <c r="S242" s="13" t="str">
        <f>_xlfn.IFNA(VLOOKUP(Tabla3[[#This Row],[PROTECCION SECUNDARIA]],PROTECCION_SECUNDARIA[],2,0),"")</f>
        <v/>
      </c>
      <c r="T242" s="13" t="str">
        <f>_xlfn.IFNA(VLOOKUP(Tabla3[[#This Row],[Que]],QUE[#All],2,0),"")</f>
        <v>A</v>
      </c>
      <c r="U242" s="13" t="str">
        <f>_xlfn.IFNA(VLOOKUP(Tabla3[[#This Row],[Señal]],SEÑAL[#All],2,0),"")</f>
        <v>_R</v>
      </c>
      <c r="V242" s="13" t="str">
        <f>_xlfn.IFNA(VLOOKUP(Tabla3[[#This Row],[NUMERO]],SEÑAL[#All],2,0),"")</f>
        <v/>
      </c>
    </row>
    <row r="243" spans="1:22" x14ac:dyDescent="0.25">
      <c r="A243" s="26" t="s">
        <v>1041</v>
      </c>
      <c r="B243" s="2" t="s">
        <v>8</v>
      </c>
      <c r="C243" s="2" t="s">
        <v>89</v>
      </c>
      <c r="D243" s="2" t="s">
        <v>109</v>
      </c>
      <c r="E243" s="2" t="s">
        <v>1381</v>
      </c>
      <c r="F243" s="2" t="s">
        <v>3</v>
      </c>
      <c r="G243" s="2" t="s">
        <v>358</v>
      </c>
      <c r="I243" s="2" t="s">
        <v>395</v>
      </c>
      <c r="J243" t="s">
        <v>634</v>
      </c>
      <c r="K243"/>
      <c r="L24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ETVMN.TR3.187_A_S</v>
      </c>
      <c r="N243" s="13" t="str">
        <f>VLOOKUP(Tabla3[[#This Row],[Tipo]],TIPO[#All],2,0)</f>
        <v>ET</v>
      </c>
      <c r="O243" s="13" t="str">
        <f>VLOOKUP(Tabla3[[#This Row],[Lugar]],LUGAR[#All],2,0)</f>
        <v>VMN</v>
      </c>
      <c r="P243" s="13" t="str">
        <f>Tabla3[[#This Row],[SIGLAS]]</f>
        <v>TR3</v>
      </c>
      <c r="Q243" s="13">
        <f>_xlfn.IFNA(VLOOKUP(Tabla3[[#This Row],[Nivel de tension]],NIVEL[#All],2,0),"")</f>
        <v>1</v>
      </c>
      <c r="R243" s="13" t="str">
        <f>_xlfn.IFNA(VLOOKUP(Tabla3[[#This Row],[DISPOSITIVO]],DISPOSITIVO[],2,0),"")</f>
        <v>87_</v>
      </c>
      <c r="S243" s="13" t="str">
        <f>_xlfn.IFNA(VLOOKUP(Tabla3[[#This Row],[PROTECCION SECUNDARIA]],PROTECCION_SECUNDARIA[],2,0),"")</f>
        <v/>
      </c>
      <c r="T243" s="13" t="str">
        <f>_xlfn.IFNA(VLOOKUP(Tabla3[[#This Row],[Que]],QUE[#All],2,0),"")</f>
        <v>A</v>
      </c>
      <c r="U243" s="13" t="str">
        <f>_xlfn.IFNA(VLOOKUP(Tabla3[[#This Row],[Señal]],SEÑAL[#All],2,0),"")</f>
        <v>_S</v>
      </c>
      <c r="V243" s="13" t="str">
        <f>_xlfn.IFNA(VLOOKUP(Tabla3[[#This Row],[NUMERO]],SEÑAL[#All],2,0),"")</f>
        <v/>
      </c>
    </row>
    <row r="244" spans="1:22" x14ac:dyDescent="0.25">
      <c r="A244" s="26" t="s">
        <v>1042</v>
      </c>
      <c r="B244" s="2" t="s">
        <v>8</v>
      </c>
      <c r="C244" s="2" t="s">
        <v>89</v>
      </c>
      <c r="D244" s="2" t="s">
        <v>109</v>
      </c>
      <c r="E244" s="2" t="s">
        <v>1381</v>
      </c>
      <c r="F244" s="2" t="s">
        <v>3</v>
      </c>
      <c r="G244" s="2" t="s">
        <v>358</v>
      </c>
      <c r="I244" s="2" t="s">
        <v>395</v>
      </c>
      <c r="J244" t="s">
        <v>647</v>
      </c>
      <c r="K244"/>
      <c r="L24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ETVMN.TR3.187_A_T</v>
      </c>
      <c r="N244" s="13" t="str">
        <f>VLOOKUP(Tabla3[[#This Row],[Tipo]],TIPO[#All],2,0)</f>
        <v>ET</v>
      </c>
      <c r="O244" s="13" t="str">
        <f>VLOOKUP(Tabla3[[#This Row],[Lugar]],LUGAR[#All],2,0)</f>
        <v>VMN</v>
      </c>
      <c r="P244" s="13" t="str">
        <f>Tabla3[[#This Row],[SIGLAS]]</f>
        <v>TR3</v>
      </c>
      <c r="Q244" s="13">
        <f>_xlfn.IFNA(VLOOKUP(Tabla3[[#This Row],[Nivel de tension]],NIVEL[#All],2,0),"")</f>
        <v>1</v>
      </c>
      <c r="R244" s="13" t="str">
        <f>_xlfn.IFNA(VLOOKUP(Tabla3[[#This Row],[DISPOSITIVO]],DISPOSITIVO[],2,0),"")</f>
        <v>87_</v>
      </c>
      <c r="S244" s="13" t="str">
        <f>_xlfn.IFNA(VLOOKUP(Tabla3[[#This Row],[PROTECCION SECUNDARIA]],PROTECCION_SECUNDARIA[],2,0),"")</f>
        <v/>
      </c>
      <c r="T244" s="13" t="str">
        <f>_xlfn.IFNA(VLOOKUP(Tabla3[[#This Row],[Que]],QUE[#All],2,0),"")</f>
        <v>A</v>
      </c>
      <c r="U244" s="13" t="str">
        <f>_xlfn.IFNA(VLOOKUP(Tabla3[[#This Row],[Señal]],SEÑAL[#All],2,0),"")</f>
        <v>_T</v>
      </c>
      <c r="V244" s="13" t="str">
        <f>_xlfn.IFNA(VLOOKUP(Tabla3[[#This Row],[NUMERO]],SEÑAL[#All],2,0),"")</f>
        <v/>
      </c>
    </row>
    <row r="245" spans="1:22" x14ac:dyDescent="0.25">
      <c r="A245" s="26" t="s">
        <v>1043</v>
      </c>
      <c r="B245" s="2" t="s">
        <v>8</v>
      </c>
      <c r="C245" s="2" t="s">
        <v>89</v>
      </c>
      <c r="D245" s="2" t="s">
        <v>109</v>
      </c>
      <c r="E245" s="2" t="s">
        <v>1381</v>
      </c>
      <c r="G245" s="2" t="s">
        <v>358</v>
      </c>
      <c r="I245" s="2" t="s">
        <v>395</v>
      </c>
      <c r="J245" t="s">
        <v>15</v>
      </c>
      <c r="K245"/>
      <c r="L24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ETVMN.TR3.87_A_CUBA</v>
      </c>
      <c r="N245" s="13" t="str">
        <f>VLOOKUP(Tabla3[[#This Row],[Tipo]],TIPO[#All],2,0)</f>
        <v>ET</v>
      </c>
      <c r="O245" s="13" t="str">
        <f>VLOOKUP(Tabla3[[#This Row],[Lugar]],LUGAR[#All],2,0)</f>
        <v>VMN</v>
      </c>
      <c r="P245" s="13" t="str">
        <f>Tabla3[[#This Row],[SIGLAS]]</f>
        <v>TR3</v>
      </c>
      <c r="Q245" s="13" t="str">
        <f>_xlfn.IFNA(VLOOKUP(Tabla3[[#This Row],[Nivel de tension]],NIVEL[#All],2,0),"")</f>
        <v/>
      </c>
      <c r="R245" s="13" t="str">
        <f>_xlfn.IFNA(VLOOKUP(Tabla3[[#This Row],[DISPOSITIVO]],DISPOSITIVO[],2,0),"")</f>
        <v>87_</v>
      </c>
      <c r="S245" s="13" t="str">
        <f>_xlfn.IFNA(VLOOKUP(Tabla3[[#This Row],[PROTECCION SECUNDARIA]],PROTECCION_SECUNDARIA[],2,0),"")</f>
        <v/>
      </c>
      <c r="T245" s="13" t="str">
        <f>_xlfn.IFNA(VLOOKUP(Tabla3[[#This Row],[Que]],QUE[#All],2,0),"")</f>
        <v>A</v>
      </c>
      <c r="U245" s="13" t="str">
        <f>_xlfn.IFNA(VLOOKUP(Tabla3[[#This Row],[Señal]],SEÑAL[#All],2,0),"")</f>
        <v>_CUBA</v>
      </c>
      <c r="V245" s="13" t="str">
        <f>_xlfn.IFNA(VLOOKUP(Tabla3[[#This Row],[NUMERO]],SEÑAL[#All],2,0),"")</f>
        <v/>
      </c>
    </row>
    <row r="246" spans="1:22" x14ac:dyDescent="0.25">
      <c r="A246" s="26" t="s">
        <v>1044</v>
      </c>
      <c r="B246" s="2" t="s">
        <v>8</v>
      </c>
      <c r="C246" s="2" t="s">
        <v>89</v>
      </c>
      <c r="D246" s="2" t="s">
        <v>109</v>
      </c>
      <c r="E246" s="2" t="s">
        <v>1381</v>
      </c>
      <c r="G246" s="2" t="s">
        <v>358</v>
      </c>
      <c r="I246" s="2" t="s">
        <v>455</v>
      </c>
      <c r="J246"/>
      <c r="K246"/>
      <c r="L24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ETVMN.TR3.87_KV</v>
      </c>
      <c r="N246" s="13" t="str">
        <f>VLOOKUP(Tabla3[[#This Row],[Tipo]],TIPO[#All],2,0)</f>
        <v>ET</v>
      </c>
      <c r="O246" s="13" t="str">
        <f>VLOOKUP(Tabla3[[#This Row],[Lugar]],LUGAR[#All],2,0)</f>
        <v>VMN</v>
      </c>
      <c r="P246" s="13" t="str">
        <f>Tabla3[[#This Row],[SIGLAS]]</f>
        <v>TR3</v>
      </c>
      <c r="Q246" s="13" t="str">
        <f>_xlfn.IFNA(VLOOKUP(Tabla3[[#This Row],[Nivel de tension]],NIVEL[#All],2,0),"")</f>
        <v/>
      </c>
      <c r="R246" s="13" t="str">
        <f>_xlfn.IFNA(VLOOKUP(Tabla3[[#This Row],[DISPOSITIVO]],DISPOSITIVO[],2,0),"")</f>
        <v>87_</v>
      </c>
      <c r="S246" s="13" t="str">
        <f>_xlfn.IFNA(VLOOKUP(Tabla3[[#This Row],[PROTECCION SECUNDARIA]],PROTECCION_SECUNDARIA[],2,0),"")</f>
        <v/>
      </c>
      <c r="T246" s="13" t="str">
        <f>_xlfn.IFNA(VLOOKUP(Tabla3[[#This Row],[Que]],QUE[#All],2,0),"")</f>
        <v>KV</v>
      </c>
      <c r="U246" s="13" t="str">
        <f>_xlfn.IFNA(VLOOKUP(Tabla3[[#This Row],[Señal]],SEÑAL[#All],2,0),"")</f>
        <v/>
      </c>
      <c r="V246" s="13" t="str">
        <f>_xlfn.IFNA(VLOOKUP(Tabla3[[#This Row],[NUMERO]],SEÑAL[#All],2,0),"")</f>
        <v/>
      </c>
    </row>
    <row r="247" spans="1:22" x14ac:dyDescent="0.25">
      <c r="A247" s="26" t="s">
        <v>1420</v>
      </c>
      <c r="B247" s="2" t="s">
        <v>8</v>
      </c>
      <c r="C247" s="2" t="s">
        <v>89</v>
      </c>
      <c r="D247" s="2" t="s">
        <v>109</v>
      </c>
      <c r="E247" s="2" t="s">
        <v>1381</v>
      </c>
      <c r="G247" s="2" t="s">
        <v>358</v>
      </c>
      <c r="I247" s="2" t="s">
        <v>456</v>
      </c>
      <c r="J247"/>
      <c r="K247"/>
      <c r="L24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ETVMN.TR3.87_KVA</v>
      </c>
      <c r="N247" s="13" t="str">
        <f>VLOOKUP(Tabla3[[#This Row],[Tipo]],TIPO[#All],2,0)</f>
        <v>ET</v>
      </c>
      <c r="O247" s="13" t="str">
        <f>VLOOKUP(Tabla3[[#This Row],[Lugar]],LUGAR[#All],2,0)</f>
        <v>VMN</v>
      </c>
      <c r="P247" s="13" t="str">
        <f>Tabla3[[#This Row],[SIGLAS]]</f>
        <v>TR3</v>
      </c>
      <c r="Q247" s="13" t="str">
        <f>_xlfn.IFNA(VLOOKUP(Tabla3[[#This Row],[Nivel de tension]],NIVEL[#All],2,0),"")</f>
        <v/>
      </c>
      <c r="R247" s="13" t="str">
        <f>_xlfn.IFNA(VLOOKUP(Tabla3[[#This Row],[DISPOSITIVO]],DISPOSITIVO[],2,0),"")</f>
        <v>87_</v>
      </c>
      <c r="S247" s="13" t="str">
        <f>_xlfn.IFNA(VLOOKUP(Tabla3[[#This Row],[PROTECCION SECUNDARIA]],PROTECCION_SECUNDARIA[],2,0),"")</f>
        <v/>
      </c>
      <c r="T247" s="13" t="str">
        <f>_xlfn.IFNA(VLOOKUP(Tabla3[[#This Row],[Que]],QUE[#All],2,0),"")</f>
        <v>KVA</v>
      </c>
      <c r="U247" s="13" t="str">
        <f>_xlfn.IFNA(VLOOKUP(Tabla3[[#This Row],[Señal]],SEÑAL[#All],2,0),"")</f>
        <v/>
      </c>
      <c r="V247" s="13" t="str">
        <f>_xlfn.IFNA(VLOOKUP(Tabla3[[#This Row],[NUMERO]],SEÑAL[#All],2,0),"")</f>
        <v/>
      </c>
    </row>
    <row r="248" spans="1:22" x14ac:dyDescent="0.25">
      <c r="A248" s="26" t="s">
        <v>1045</v>
      </c>
      <c r="B248" s="2" t="s">
        <v>8</v>
      </c>
      <c r="C248" s="2" t="s">
        <v>89</v>
      </c>
      <c r="D248" s="2" t="s">
        <v>109</v>
      </c>
      <c r="E248" s="2" t="s">
        <v>1381</v>
      </c>
      <c r="G248" s="2" t="s">
        <v>358</v>
      </c>
      <c r="I248" s="2" t="s">
        <v>451</v>
      </c>
      <c r="J248"/>
      <c r="K248"/>
      <c r="L24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ETVMN.TR3.87_HZ</v>
      </c>
      <c r="N248" s="13" t="str">
        <f>VLOOKUP(Tabla3[[#This Row],[Tipo]],TIPO[#All],2,0)</f>
        <v>ET</v>
      </c>
      <c r="O248" s="13" t="str">
        <f>VLOOKUP(Tabla3[[#This Row],[Lugar]],LUGAR[#All],2,0)</f>
        <v>VMN</v>
      </c>
      <c r="P248" s="13" t="str">
        <f>Tabla3[[#This Row],[SIGLAS]]</f>
        <v>TR3</v>
      </c>
      <c r="Q248" s="13" t="str">
        <f>_xlfn.IFNA(VLOOKUP(Tabla3[[#This Row],[Nivel de tension]],NIVEL[#All],2,0),"")</f>
        <v/>
      </c>
      <c r="R248" s="13" t="str">
        <f>_xlfn.IFNA(VLOOKUP(Tabla3[[#This Row],[DISPOSITIVO]],DISPOSITIVO[],2,0),"")</f>
        <v>87_</v>
      </c>
      <c r="S248" s="13" t="str">
        <f>_xlfn.IFNA(VLOOKUP(Tabla3[[#This Row],[PROTECCION SECUNDARIA]],PROTECCION_SECUNDARIA[],2,0),"")</f>
        <v/>
      </c>
      <c r="T248" s="13" t="str">
        <f>_xlfn.IFNA(VLOOKUP(Tabla3[[#This Row],[Que]],QUE[#All],2,0),"")</f>
        <v>HZ</v>
      </c>
      <c r="U248" s="13" t="str">
        <f>_xlfn.IFNA(VLOOKUP(Tabla3[[#This Row],[Señal]],SEÑAL[#All],2,0),"")</f>
        <v/>
      </c>
      <c r="V248" s="13" t="str">
        <f>_xlfn.IFNA(VLOOKUP(Tabla3[[#This Row],[NUMERO]],SEÑAL[#All],2,0),"")</f>
        <v/>
      </c>
    </row>
    <row r="249" spans="1:22" x14ac:dyDescent="0.25">
      <c r="A249" s="26" t="s">
        <v>1046</v>
      </c>
      <c r="B249" s="2" t="s">
        <v>8</v>
      </c>
      <c r="C249" s="2" t="s">
        <v>89</v>
      </c>
      <c r="D249" s="2" t="s">
        <v>109</v>
      </c>
      <c r="E249" s="2" t="s">
        <v>1381</v>
      </c>
      <c r="G249" s="2" t="s">
        <v>358</v>
      </c>
      <c r="I249" s="2" t="s">
        <v>395</v>
      </c>
      <c r="J249" t="s">
        <v>722</v>
      </c>
      <c r="K249"/>
      <c r="L24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ETVMN.TR3.87_ADIF_R</v>
      </c>
      <c r="N249" s="13" t="str">
        <f>VLOOKUP(Tabla3[[#This Row],[Tipo]],TIPO[#All],2,0)</f>
        <v>ET</v>
      </c>
      <c r="O249" s="13" t="str">
        <f>VLOOKUP(Tabla3[[#This Row],[Lugar]],LUGAR[#All],2,0)</f>
        <v>VMN</v>
      </c>
      <c r="P249" s="13" t="str">
        <f>Tabla3[[#This Row],[SIGLAS]]</f>
        <v>TR3</v>
      </c>
      <c r="Q249" s="13" t="str">
        <f>_xlfn.IFNA(VLOOKUP(Tabla3[[#This Row],[Nivel de tension]],NIVEL[#All],2,0),"")</f>
        <v/>
      </c>
      <c r="R249" s="13" t="str">
        <f>_xlfn.IFNA(VLOOKUP(Tabla3[[#This Row],[DISPOSITIVO]],DISPOSITIVO[],2,0),"")</f>
        <v>87_</v>
      </c>
      <c r="S249" s="13" t="str">
        <f>_xlfn.IFNA(VLOOKUP(Tabla3[[#This Row],[PROTECCION SECUNDARIA]],PROTECCION_SECUNDARIA[],2,0),"")</f>
        <v/>
      </c>
      <c r="T249" s="13" t="str">
        <f>_xlfn.IFNA(VLOOKUP(Tabla3[[#This Row],[Que]],QUE[#All],2,0),"")</f>
        <v>A</v>
      </c>
      <c r="U249" s="13" t="str">
        <f>_xlfn.IFNA(VLOOKUP(Tabla3[[#This Row],[Señal]],SEÑAL[#All],2,0),"")</f>
        <v>DIF_R</v>
      </c>
      <c r="V249" s="13" t="str">
        <f>_xlfn.IFNA(VLOOKUP(Tabla3[[#This Row],[NUMERO]],SEÑAL[#All],2,0),"")</f>
        <v/>
      </c>
    </row>
    <row r="250" spans="1:22" x14ac:dyDescent="0.25">
      <c r="A250" s="26" t="s">
        <v>1047</v>
      </c>
      <c r="B250" s="2" t="s">
        <v>8</v>
      </c>
      <c r="C250" s="2" t="s">
        <v>89</v>
      </c>
      <c r="D250" s="2" t="s">
        <v>109</v>
      </c>
      <c r="E250" s="2" t="s">
        <v>1381</v>
      </c>
      <c r="G250" s="2" t="s">
        <v>358</v>
      </c>
      <c r="J250" t="s">
        <v>724</v>
      </c>
      <c r="K250"/>
      <c r="L25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ETVMN.TR3.87_DIF_S</v>
      </c>
      <c r="N250" s="13" t="str">
        <f>VLOOKUP(Tabla3[[#This Row],[Tipo]],TIPO[#All],2,0)</f>
        <v>ET</v>
      </c>
      <c r="O250" s="13" t="str">
        <f>VLOOKUP(Tabla3[[#This Row],[Lugar]],LUGAR[#All],2,0)</f>
        <v>VMN</v>
      </c>
      <c r="P250" s="13" t="str">
        <f>Tabla3[[#This Row],[SIGLAS]]</f>
        <v>TR3</v>
      </c>
      <c r="Q250" s="13" t="str">
        <f>_xlfn.IFNA(VLOOKUP(Tabla3[[#This Row],[Nivel de tension]],NIVEL[#All],2,0),"")</f>
        <v/>
      </c>
      <c r="R250" s="13" t="str">
        <f>_xlfn.IFNA(VLOOKUP(Tabla3[[#This Row],[DISPOSITIVO]],DISPOSITIVO[],2,0),"")</f>
        <v>87_</v>
      </c>
      <c r="S250" s="13" t="str">
        <f>_xlfn.IFNA(VLOOKUP(Tabla3[[#This Row],[PROTECCION SECUNDARIA]],PROTECCION_SECUNDARIA[],2,0),"")</f>
        <v/>
      </c>
      <c r="T250" s="13" t="str">
        <f>_xlfn.IFNA(VLOOKUP(Tabla3[[#This Row],[Que]],QUE[#All],2,0),"")</f>
        <v/>
      </c>
      <c r="U250" s="13" t="str">
        <f>_xlfn.IFNA(VLOOKUP(Tabla3[[#This Row],[Señal]],SEÑAL[#All],2,0),"")</f>
        <v>DIF_S</v>
      </c>
      <c r="V250" s="13" t="str">
        <f>_xlfn.IFNA(VLOOKUP(Tabla3[[#This Row],[NUMERO]],SEÑAL[#All],2,0),"")</f>
        <v/>
      </c>
    </row>
    <row r="251" spans="1:22" x14ac:dyDescent="0.25">
      <c r="A251" s="26" t="s">
        <v>1048</v>
      </c>
      <c r="B251" s="2" t="s">
        <v>8</v>
      </c>
      <c r="C251" s="2" t="s">
        <v>89</v>
      </c>
      <c r="D251" s="2" t="s">
        <v>109</v>
      </c>
      <c r="E251" s="2" t="s">
        <v>1381</v>
      </c>
      <c r="G251" s="2" t="s">
        <v>358</v>
      </c>
      <c r="J251" t="s">
        <v>726</v>
      </c>
      <c r="K251"/>
      <c r="L25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ETVMN.TR3.87_DIF_T</v>
      </c>
      <c r="N251" s="13" t="str">
        <f>VLOOKUP(Tabla3[[#This Row],[Tipo]],TIPO[#All],2,0)</f>
        <v>ET</v>
      </c>
      <c r="O251" s="13" t="str">
        <f>VLOOKUP(Tabla3[[#This Row],[Lugar]],LUGAR[#All],2,0)</f>
        <v>VMN</v>
      </c>
      <c r="P251" s="13" t="str">
        <f>Tabla3[[#This Row],[SIGLAS]]</f>
        <v>TR3</v>
      </c>
      <c r="Q251" s="13" t="str">
        <f>_xlfn.IFNA(VLOOKUP(Tabla3[[#This Row],[Nivel de tension]],NIVEL[#All],2,0),"")</f>
        <v/>
      </c>
      <c r="R251" s="13" t="str">
        <f>_xlfn.IFNA(VLOOKUP(Tabla3[[#This Row],[DISPOSITIVO]],DISPOSITIVO[],2,0),"")</f>
        <v>87_</v>
      </c>
      <c r="S251" s="13" t="str">
        <f>_xlfn.IFNA(VLOOKUP(Tabla3[[#This Row],[PROTECCION SECUNDARIA]],PROTECCION_SECUNDARIA[],2,0),"")</f>
        <v/>
      </c>
      <c r="T251" s="13" t="str">
        <f>_xlfn.IFNA(VLOOKUP(Tabla3[[#This Row],[Que]],QUE[#All],2,0),"")</f>
        <v/>
      </c>
      <c r="U251" s="13" t="str">
        <f>_xlfn.IFNA(VLOOKUP(Tabla3[[#This Row],[Señal]],SEÑAL[#All],2,0),"")</f>
        <v>DIF_T</v>
      </c>
      <c r="V251" s="13" t="str">
        <f>_xlfn.IFNA(VLOOKUP(Tabla3[[#This Row],[NUMERO]],SEÑAL[#All],2,0),"")</f>
        <v/>
      </c>
    </row>
    <row r="252" spans="1:22" x14ac:dyDescent="0.25">
      <c r="A252" s="26" t="s">
        <v>1049</v>
      </c>
      <c r="B252" s="2" t="s">
        <v>8</v>
      </c>
      <c r="C252" s="2" t="s">
        <v>89</v>
      </c>
      <c r="D252" s="2" t="s">
        <v>109</v>
      </c>
      <c r="E252" s="2" t="s">
        <v>1381</v>
      </c>
      <c r="G252" s="2" t="s">
        <v>358</v>
      </c>
      <c r="J252" t="s">
        <v>777</v>
      </c>
      <c r="K252"/>
      <c r="L25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ETVMN.TR3.87_RES_R</v>
      </c>
      <c r="N252" s="13" t="str">
        <f>VLOOKUP(Tabla3[[#This Row],[Tipo]],TIPO[#All],2,0)</f>
        <v>ET</v>
      </c>
      <c r="O252" s="13" t="str">
        <f>VLOOKUP(Tabla3[[#This Row],[Lugar]],LUGAR[#All],2,0)</f>
        <v>VMN</v>
      </c>
      <c r="P252" s="13" t="str">
        <f>Tabla3[[#This Row],[SIGLAS]]</f>
        <v>TR3</v>
      </c>
      <c r="Q252" s="13" t="str">
        <f>_xlfn.IFNA(VLOOKUP(Tabla3[[#This Row],[Nivel de tension]],NIVEL[#All],2,0),"")</f>
        <v/>
      </c>
      <c r="R252" s="13" t="str">
        <f>_xlfn.IFNA(VLOOKUP(Tabla3[[#This Row],[DISPOSITIVO]],DISPOSITIVO[],2,0),"")</f>
        <v>87_</v>
      </c>
      <c r="S252" s="13" t="str">
        <f>_xlfn.IFNA(VLOOKUP(Tabla3[[#This Row],[PROTECCION SECUNDARIA]],PROTECCION_SECUNDARIA[],2,0),"")</f>
        <v/>
      </c>
      <c r="T252" s="13" t="str">
        <f>_xlfn.IFNA(VLOOKUP(Tabla3[[#This Row],[Que]],QUE[#All],2,0),"")</f>
        <v/>
      </c>
      <c r="U252" s="13" t="str">
        <f>_xlfn.IFNA(VLOOKUP(Tabla3[[#This Row],[Señal]],SEÑAL[#All],2,0),"")</f>
        <v>RES_R</v>
      </c>
      <c r="V252" s="13" t="str">
        <f>_xlfn.IFNA(VLOOKUP(Tabla3[[#This Row],[NUMERO]],SEÑAL[#All],2,0),"")</f>
        <v/>
      </c>
    </row>
    <row r="253" spans="1:22" x14ac:dyDescent="0.25">
      <c r="A253" s="26" t="s">
        <v>1050</v>
      </c>
      <c r="B253" s="2" t="s">
        <v>8</v>
      </c>
      <c r="C253" s="2" t="s">
        <v>89</v>
      </c>
      <c r="D253" s="2" t="s">
        <v>109</v>
      </c>
      <c r="E253" s="2" t="s">
        <v>1381</v>
      </c>
      <c r="G253" s="2" t="s">
        <v>358</v>
      </c>
      <c r="J253" t="s">
        <v>779</v>
      </c>
      <c r="K253"/>
      <c r="L25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ETVMN.TR3.87_RES_S</v>
      </c>
      <c r="N253" s="13" t="str">
        <f>VLOOKUP(Tabla3[[#This Row],[Tipo]],TIPO[#All],2,0)</f>
        <v>ET</v>
      </c>
      <c r="O253" s="13" t="str">
        <f>VLOOKUP(Tabla3[[#This Row],[Lugar]],LUGAR[#All],2,0)</f>
        <v>VMN</v>
      </c>
      <c r="P253" s="13" t="str">
        <f>Tabla3[[#This Row],[SIGLAS]]</f>
        <v>TR3</v>
      </c>
      <c r="Q253" s="13" t="str">
        <f>_xlfn.IFNA(VLOOKUP(Tabla3[[#This Row],[Nivel de tension]],NIVEL[#All],2,0),"")</f>
        <v/>
      </c>
      <c r="R253" s="13" t="str">
        <f>_xlfn.IFNA(VLOOKUP(Tabla3[[#This Row],[DISPOSITIVO]],DISPOSITIVO[],2,0),"")</f>
        <v>87_</v>
      </c>
      <c r="S253" s="13" t="str">
        <f>_xlfn.IFNA(VLOOKUP(Tabla3[[#This Row],[PROTECCION SECUNDARIA]],PROTECCION_SECUNDARIA[],2,0),"")</f>
        <v/>
      </c>
      <c r="T253" s="13" t="str">
        <f>_xlfn.IFNA(VLOOKUP(Tabla3[[#This Row],[Que]],QUE[#All],2,0),"")</f>
        <v/>
      </c>
      <c r="U253" s="13" t="str">
        <f>_xlfn.IFNA(VLOOKUP(Tabla3[[#This Row],[Señal]],SEÑAL[#All],2,0),"")</f>
        <v>RES_S</v>
      </c>
      <c r="V253" s="13" t="str">
        <f>_xlfn.IFNA(VLOOKUP(Tabla3[[#This Row],[NUMERO]],SEÑAL[#All],2,0),"")</f>
        <v/>
      </c>
    </row>
    <row r="254" spans="1:22" x14ac:dyDescent="0.25">
      <c r="A254" s="26" t="s">
        <v>1051</v>
      </c>
      <c r="B254" s="2" t="s">
        <v>8</v>
      </c>
      <c r="C254" s="2" t="s">
        <v>89</v>
      </c>
      <c r="D254" s="2" t="s">
        <v>109</v>
      </c>
      <c r="E254" s="2" t="s">
        <v>1381</v>
      </c>
      <c r="G254" s="2" t="s">
        <v>358</v>
      </c>
      <c r="J254" t="s">
        <v>781</v>
      </c>
      <c r="K254"/>
      <c r="L25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ETVMN.TR3.87_RES_T</v>
      </c>
      <c r="N254" s="13" t="str">
        <f>VLOOKUP(Tabla3[[#This Row],[Tipo]],TIPO[#All],2,0)</f>
        <v>ET</v>
      </c>
      <c r="O254" s="13" t="str">
        <f>VLOOKUP(Tabla3[[#This Row],[Lugar]],LUGAR[#All],2,0)</f>
        <v>VMN</v>
      </c>
      <c r="P254" s="13" t="str">
        <f>Tabla3[[#This Row],[SIGLAS]]</f>
        <v>TR3</v>
      </c>
      <c r="Q254" s="13" t="str">
        <f>_xlfn.IFNA(VLOOKUP(Tabla3[[#This Row],[Nivel de tension]],NIVEL[#All],2,0),"")</f>
        <v/>
      </c>
      <c r="R254" s="13" t="str">
        <f>_xlfn.IFNA(VLOOKUP(Tabla3[[#This Row],[DISPOSITIVO]],DISPOSITIVO[],2,0),"")</f>
        <v>87_</v>
      </c>
      <c r="S254" s="13" t="str">
        <f>_xlfn.IFNA(VLOOKUP(Tabla3[[#This Row],[PROTECCION SECUNDARIA]],PROTECCION_SECUNDARIA[],2,0),"")</f>
        <v/>
      </c>
      <c r="T254" s="13" t="str">
        <f>_xlfn.IFNA(VLOOKUP(Tabla3[[#This Row],[Que]],QUE[#All],2,0),"")</f>
        <v/>
      </c>
      <c r="U254" s="13" t="str">
        <f>_xlfn.IFNA(VLOOKUP(Tabla3[[#This Row],[Señal]],SEÑAL[#All],2,0),"")</f>
        <v>RES_T</v>
      </c>
      <c r="V254" s="13" t="str">
        <f>_xlfn.IFNA(VLOOKUP(Tabla3[[#This Row],[NUMERO]],SEÑAL[#All],2,0),"")</f>
        <v/>
      </c>
    </row>
    <row r="255" spans="1:22" x14ac:dyDescent="0.25">
      <c r="A255" s="26" t="s">
        <v>1052</v>
      </c>
      <c r="B255" s="2" t="s">
        <v>8</v>
      </c>
      <c r="C255" s="2" t="s">
        <v>89</v>
      </c>
      <c r="D255" s="2" t="s">
        <v>109</v>
      </c>
      <c r="E255" s="2" t="s">
        <v>1381</v>
      </c>
      <c r="G255" s="2" t="s">
        <v>369</v>
      </c>
      <c r="I255" s="2" t="s">
        <v>484</v>
      </c>
      <c r="J255"/>
      <c r="K255"/>
      <c r="L25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ETVMN.TR3.RBC_TAP</v>
      </c>
      <c r="N255" s="13" t="str">
        <f>VLOOKUP(Tabla3[[#This Row],[Tipo]],TIPO[#All],2,0)</f>
        <v>ET</v>
      </c>
      <c r="O255" s="13" t="str">
        <f>VLOOKUP(Tabla3[[#This Row],[Lugar]],LUGAR[#All],2,0)</f>
        <v>VMN</v>
      </c>
      <c r="P255" s="13" t="str">
        <f>Tabla3[[#This Row],[SIGLAS]]</f>
        <v>TR3</v>
      </c>
      <c r="Q255" s="13" t="str">
        <f>_xlfn.IFNA(VLOOKUP(Tabla3[[#This Row],[Nivel de tension]],NIVEL[#All],2,0),"")</f>
        <v/>
      </c>
      <c r="R255" s="13" t="str">
        <f>_xlfn.IFNA(VLOOKUP(Tabla3[[#This Row],[DISPOSITIVO]],DISPOSITIVO[],2,0),"")</f>
        <v>RBC_</v>
      </c>
      <c r="S255" s="13" t="str">
        <f>_xlfn.IFNA(VLOOKUP(Tabla3[[#This Row],[PROTECCION SECUNDARIA]],PROTECCION_SECUNDARIA[],2,0),"")</f>
        <v/>
      </c>
      <c r="T255" s="13" t="str">
        <f>_xlfn.IFNA(VLOOKUP(Tabla3[[#This Row],[Que]],QUE[#All],2,0),"")</f>
        <v>TAP</v>
      </c>
      <c r="U255" s="13" t="str">
        <f>_xlfn.IFNA(VLOOKUP(Tabla3[[#This Row],[Señal]],SEÑAL[#All],2,0),"")</f>
        <v/>
      </c>
      <c r="V255" s="13" t="str">
        <f>_xlfn.IFNA(VLOOKUP(Tabla3[[#This Row],[NUMERO]],SEÑAL[#All],2,0),"")</f>
        <v/>
      </c>
    </row>
    <row r="256" spans="1:22" x14ac:dyDescent="0.25">
      <c r="A256" s="26" t="s">
        <v>1053</v>
      </c>
      <c r="B256" s="2" t="s">
        <v>8</v>
      </c>
      <c r="C256" s="2" t="s">
        <v>89</v>
      </c>
      <c r="D256" s="2" t="s">
        <v>109</v>
      </c>
      <c r="E256" s="2" t="s">
        <v>1381</v>
      </c>
      <c r="F256" s="2" t="s">
        <v>3</v>
      </c>
      <c r="G256" s="2" t="s">
        <v>348</v>
      </c>
      <c r="I256" s="2" t="s">
        <v>434</v>
      </c>
      <c r="J256"/>
      <c r="K256"/>
      <c r="L25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ETVMN.TR3.150_DI</v>
      </c>
      <c r="N256" s="13" t="str">
        <f>VLOOKUP(Tabla3[[#This Row],[Tipo]],TIPO[#All],2,0)</f>
        <v>ET</v>
      </c>
      <c r="O256" s="13" t="str">
        <f>VLOOKUP(Tabla3[[#This Row],[Lugar]],LUGAR[#All],2,0)</f>
        <v>VMN</v>
      </c>
      <c r="P256" s="13" t="str">
        <f>Tabla3[[#This Row],[SIGLAS]]</f>
        <v>TR3</v>
      </c>
      <c r="Q256" s="13">
        <f>_xlfn.IFNA(VLOOKUP(Tabla3[[#This Row],[Nivel de tension]],NIVEL[#All],2,0),"")</f>
        <v>1</v>
      </c>
      <c r="R256" s="13" t="str">
        <f>_xlfn.IFNA(VLOOKUP(Tabla3[[#This Row],[DISPOSITIVO]],DISPOSITIVO[],2,0),"")</f>
        <v>50_</v>
      </c>
      <c r="S256" s="13" t="str">
        <f>_xlfn.IFNA(VLOOKUP(Tabla3[[#This Row],[PROTECCION SECUNDARIA]],PROTECCION_SECUNDARIA[],2,0),"")</f>
        <v/>
      </c>
      <c r="T256" s="13" t="str">
        <f>_xlfn.IFNA(VLOOKUP(Tabla3[[#This Row],[Que]],QUE[#All],2,0),"")</f>
        <v>DI</v>
      </c>
      <c r="U256" s="13" t="str">
        <f>_xlfn.IFNA(VLOOKUP(Tabla3[[#This Row],[Señal]],SEÑAL[#All],2,0),"")</f>
        <v/>
      </c>
      <c r="V256" s="13" t="str">
        <f>_xlfn.IFNA(VLOOKUP(Tabla3[[#This Row],[NUMERO]],SEÑAL[#All],2,0),"")</f>
        <v/>
      </c>
    </row>
    <row r="257" spans="1:22" x14ac:dyDescent="0.25">
      <c r="A257" s="26" t="s">
        <v>1054</v>
      </c>
      <c r="B257" s="2" t="s">
        <v>8</v>
      </c>
      <c r="C257" s="2" t="s">
        <v>89</v>
      </c>
      <c r="D257" s="2" t="s">
        <v>109</v>
      </c>
      <c r="E257" s="2" t="s">
        <v>1381</v>
      </c>
      <c r="F257" s="2" t="s">
        <v>3</v>
      </c>
      <c r="G257" s="2" t="s">
        <v>351</v>
      </c>
      <c r="I257" s="2" t="s">
        <v>434</v>
      </c>
      <c r="J257"/>
      <c r="K257"/>
      <c r="L25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ETVMN.TR3.150N_DI</v>
      </c>
      <c r="N257" s="13" t="str">
        <f>VLOOKUP(Tabla3[[#This Row],[Tipo]],TIPO[#All],2,0)</f>
        <v>ET</v>
      </c>
      <c r="O257" s="13" t="str">
        <f>VLOOKUP(Tabla3[[#This Row],[Lugar]],LUGAR[#All],2,0)</f>
        <v>VMN</v>
      </c>
      <c r="P257" s="13" t="str">
        <f>Tabla3[[#This Row],[SIGLAS]]</f>
        <v>TR3</v>
      </c>
      <c r="Q257" s="13">
        <f>_xlfn.IFNA(VLOOKUP(Tabla3[[#This Row],[Nivel de tension]],NIVEL[#All],2,0),"")</f>
        <v>1</v>
      </c>
      <c r="R257" s="13" t="str">
        <f>_xlfn.IFNA(VLOOKUP(Tabla3[[#This Row],[DISPOSITIVO]],DISPOSITIVO[],2,0),"")</f>
        <v>50N_</v>
      </c>
      <c r="S257" s="13" t="str">
        <f>_xlfn.IFNA(VLOOKUP(Tabla3[[#This Row],[PROTECCION SECUNDARIA]],PROTECCION_SECUNDARIA[],2,0),"")</f>
        <v/>
      </c>
      <c r="T257" s="13" t="str">
        <f>_xlfn.IFNA(VLOOKUP(Tabla3[[#This Row],[Que]],QUE[#All],2,0),"")</f>
        <v>DI</v>
      </c>
      <c r="U257" s="13" t="str">
        <f>_xlfn.IFNA(VLOOKUP(Tabla3[[#This Row],[Señal]],SEÑAL[#All],2,0),"")</f>
        <v/>
      </c>
      <c r="V257" s="13" t="str">
        <f>_xlfn.IFNA(VLOOKUP(Tabla3[[#This Row],[NUMERO]],SEÑAL[#All],2,0),"")</f>
        <v/>
      </c>
    </row>
    <row r="258" spans="1:22" x14ac:dyDescent="0.25">
      <c r="A258" s="26" t="s">
        <v>1055</v>
      </c>
      <c r="B258" s="2" t="s">
        <v>8</v>
      </c>
      <c r="C258" s="2" t="s">
        <v>89</v>
      </c>
      <c r="D258" s="2" t="s">
        <v>109</v>
      </c>
      <c r="E258" s="2" t="s">
        <v>1381</v>
      </c>
      <c r="F258" s="2" t="s">
        <v>3</v>
      </c>
      <c r="G258" s="2" t="s">
        <v>352</v>
      </c>
      <c r="I258" s="2" t="s">
        <v>403</v>
      </c>
      <c r="J258"/>
      <c r="K258"/>
      <c r="L25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ETVMN.TR3.151_AR</v>
      </c>
      <c r="N258" s="13" t="str">
        <f>VLOOKUP(Tabla3[[#This Row],[Tipo]],TIPO[#All],2,0)</f>
        <v>ET</v>
      </c>
      <c r="O258" s="13" t="str">
        <f>VLOOKUP(Tabla3[[#This Row],[Lugar]],LUGAR[#All],2,0)</f>
        <v>VMN</v>
      </c>
      <c r="P258" s="13" t="str">
        <f>Tabla3[[#This Row],[SIGLAS]]</f>
        <v>TR3</v>
      </c>
      <c r="Q258" s="13">
        <f>_xlfn.IFNA(VLOOKUP(Tabla3[[#This Row],[Nivel de tension]],NIVEL[#All],2,0),"")</f>
        <v>1</v>
      </c>
      <c r="R258" s="13" t="str">
        <f>_xlfn.IFNA(VLOOKUP(Tabla3[[#This Row],[DISPOSITIVO]],DISPOSITIVO[],2,0),"")</f>
        <v>51_</v>
      </c>
      <c r="S258" s="13" t="str">
        <f>_xlfn.IFNA(VLOOKUP(Tabla3[[#This Row],[PROTECCION SECUNDARIA]],PROTECCION_SECUNDARIA[],2,0),"")</f>
        <v/>
      </c>
      <c r="T258" s="13" t="str">
        <f>_xlfn.IFNA(VLOOKUP(Tabla3[[#This Row],[Que]],QUE[#All],2,0),"")</f>
        <v>AR</v>
      </c>
      <c r="U258" s="13" t="str">
        <f>_xlfn.IFNA(VLOOKUP(Tabla3[[#This Row],[Señal]],SEÑAL[#All],2,0),"")</f>
        <v/>
      </c>
      <c r="V258" s="13" t="str">
        <f>_xlfn.IFNA(VLOOKUP(Tabla3[[#This Row],[NUMERO]],SEÑAL[#All],2,0),"")</f>
        <v/>
      </c>
    </row>
    <row r="259" spans="1:22" x14ac:dyDescent="0.25">
      <c r="A259" s="26" t="s">
        <v>1056</v>
      </c>
      <c r="B259" s="2" t="s">
        <v>8</v>
      </c>
      <c r="C259" s="2" t="s">
        <v>89</v>
      </c>
      <c r="D259" s="2" t="s">
        <v>109</v>
      </c>
      <c r="E259" s="2" t="s">
        <v>1381</v>
      </c>
      <c r="F259" s="2" t="s">
        <v>3</v>
      </c>
      <c r="G259" s="2" t="s">
        <v>352</v>
      </c>
      <c r="I259" s="2" t="s">
        <v>434</v>
      </c>
      <c r="J259"/>
      <c r="K259"/>
      <c r="L25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ETVMN.TR3.151_DI</v>
      </c>
      <c r="N259" s="13" t="str">
        <f>VLOOKUP(Tabla3[[#This Row],[Tipo]],TIPO[#All],2,0)</f>
        <v>ET</v>
      </c>
      <c r="O259" s="13" t="str">
        <f>VLOOKUP(Tabla3[[#This Row],[Lugar]],LUGAR[#All],2,0)</f>
        <v>VMN</v>
      </c>
      <c r="P259" s="13" t="str">
        <f>Tabla3[[#This Row],[SIGLAS]]</f>
        <v>TR3</v>
      </c>
      <c r="Q259" s="13">
        <f>_xlfn.IFNA(VLOOKUP(Tabla3[[#This Row],[Nivel de tension]],NIVEL[#All],2,0),"")</f>
        <v>1</v>
      </c>
      <c r="R259" s="13" t="str">
        <f>_xlfn.IFNA(VLOOKUP(Tabla3[[#This Row],[DISPOSITIVO]],DISPOSITIVO[],2,0),"")</f>
        <v>51_</v>
      </c>
      <c r="S259" s="13" t="str">
        <f>_xlfn.IFNA(VLOOKUP(Tabla3[[#This Row],[PROTECCION SECUNDARIA]],PROTECCION_SECUNDARIA[],2,0),"")</f>
        <v/>
      </c>
      <c r="T259" s="13" t="str">
        <f>_xlfn.IFNA(VLOOKUP(Tabla3[[#This Row],[Que]],QUE[#All],2,0),"")</f>
        <v>DI</v>
      </c>
      <c r="U259" s="13" t="str">
        <f>_xlfn.IFNA(VLOOKUP(Tabla3[[#This Row],[Señal]],SEÑAL[#All],2,0),"")</f>
        <v/>
      </c>
      <c r="V259" s="13" t="str">
        <f>_xlfn.IFNA(VLOOKUP(Tabla3[[#This Row],[NUMERO]],SEÑAL[#All],2,0),"")</f>
        <v/>
      </c>
    </row>
    <row r="260" spans="1:22" x14ac:dyDescent="0.25">
      <c r="A260" s="26" t="s">
        <v>1057</v>
      </c>
      <c r="B260" s="2" t="s">
        <v>8</v>
      </c>
      <c r="C260" s="2" t="s">
        <v>89</v>
      </c>
      <c r="D260" s="2" t="s">
        <v>109</v>
      </c>
      <c r="E260" s="2" t="s">
        <v>1381</v>
      </c>
      <c r="F260" s="2" t="s">
        <v>3</v>
      </c>
      <c r="G260" s="2" t="s">
        <v>349</v>
      </c>
      <c r="I260" s="2" t="s">
        <v>434</v>
      </c>
      <c r="J260"/>
      <c r="K260"/>
      <c r="L26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ETVMN.TR3.15051_DI</v>
      </c>
      <c r="N260" s="13" t="str">
        <f>VLOOKUP(Tabla3[[#This Row],[Tipo]],TIPO[#All],2,0)</f>
        <v>ET</v>
      </c>
      <c r="O260" s="13" t="str">
        <f>VLOOKUP(Tabla3[[#This Row],[Lugar]],LUGAR[#All],2,0)</f>
        <v>VMN</v>
      </c>
      <c r="P260" s="13" t="str">
        <f>Tabla3[[#This Row],[SIGLAS]]</f>
        <v>TR3</v>
      </c>
      <c r="Q260" s="13">
        <f>_xlfn.IFNA(VLOOKUP(Tabla3[[#This Row],[Nivel de tension]],NIVEL[#All],2,0),"")</f>
        <v>1</v>
      </c>
      <c r="R260" s="13" t="str">
        <f>_xlfn.IFNA(VLOOKUP(Tabla3[[#This Row],[DISPOSITIVO]],DISPOSITIVO[],2,0),"")</f>
        <v>5051_</v>
      </c>
      <c r="S260" s="13" t="str">
        <f>_xlfn.IFNA(VLOOKUP(Tabla3[[#This Row],[PROTECCION SECUNDARIA]],PROTECCION_SECUNDARIA[],2,0),"")</f>
        <v/>
      </c>
      <c r="T260" s="13" t="str">
        <f>_xlfn.IFNA(VLOOKUP(Tabla3[[#This Row],[Que]],QUE[#All],2,0),"")</f>
        <v>DI</v>
      </c>
      <c r="U260" s="13" t="str">
        <f>_xlfn.IFNA(VLOOKUP(Tabla3[[#This Row],[Señal]],SEÑAL[#All],2,0),"")</f>
        <v/>
      </c>
      <c r="V260" s="13" t="str">
        <f>_xlfn.IFNA(VLOOKUP(Tabla3[[#This Row],[NUMERO]],SEÑAL[#All],2,0),"")</f>
        <v/>
      </c>
    </row>
    <row r="261" spans="1:22" x14ac:dyDescent="0.25">
      <c r="A261" s="26" t="s">
        <v>1058</v>
      </c>
      <c r="B261" s="2" t="s">
        <v>8</v>
      </c>
      <c r="C261" s="2" t="s">
        <v>89</v>
      </c>
      <c r="D261" s="2" t="s">
        <v>109</v>
      </c>
      <c r="E261" s="2" t="s">
        <v>1381</v>
      </c>
      <c r="F261" s="2" t="s">
        <v>3</v>
      </c>
      <c r="G261" s="2" t="s">
        <v>353</v>
      </c>
      <c r="I261" s="2" t="s">
        <v>403</v>
      </c>
      <c r="J261"/>
      <c r="K261"/>
      <c r="L26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ETVMN.TR3.151N_AR</v>
      </c>
      <c r="N261" s="13" t="str">
        <f>VLOOKUP(Tabla3[[#This Row],[Tipo]],TIPO[#All],2,0)</f>
        <v>ET</v>
      </c>
      <c r="O261" s="13" t="str">
        <f>VLOOKUP(Tabla3[[#This Row],[Lugar]],LUGAR[#All],2,0)</f>
        <v>VMN</v>
      </c>
      <c r="P261" s="13" t="str">
        <f>Tabla3[[#This Row],[SIGLAS]]</f>
        <v>TR3</v>
      </c>
      <c r="Q261" s="13">
        <f>_xlfn.IFNA(VLOOKUP(Tabla3[[#This Row],[Nivel de tension]],NIVEL[#All],2,0),"")</f>
        <v>1</v>
      </c>
      <c r="R261" s="13" t="str">
        <f>_xlfn.IFNA(VLOOKUP(Tabla3[[#This Row],[DISPOSITIVO]],DISPOSITIVO[],2,0),"")</f>
        <v>51N_</v>
      </c>
      <c r="S261" s="13" t="str">
        <f>_xlfn.IFNA(VLOOKUP(Tabla3[[#This Row],[PROTECCION SECUNDARIA]],PROTECCION_SECUNDARIA[],2,0),"")</f>
        <v/>
      </c>
      <c r="T261" s="13" t="str">
        <f>_xlfn.IFNA(VLOOKUP(Tabla3[[#This Row],[Que]],QUE[#All],2,0),"")</f>
        <v>AR</v>
      </c>
      <c r="U261" s="13" t="str">
        <f>_xlfn.IFNA(VLOOKUP(Tabla3[[#This Row],[Señal]],SEÑAL[#All],2,0),"")</f>
        <v/>
      </c>
      <c r="V261" s="13" t="str">
        <f>_xlfn.IFNA(VLOOKUP(Tabla3[[#This Row],[NUMERO]],SEÑAL[#All],2,0),"")</f>
        <v/>
      </c>
    </row>
    <row r="262" spans="1:22" x14ac:dyDescent="0.25">
      <c r="A262" s="26" t="s">
        <v>1059</v>
      </c>
      <c r="B262" s="2" t="s">
        <v>8</v>
      </c>
      <c r="C262" s="2" t="s">
        <v>89</v>
      </c>
      <c r="D262" s="2" t="s">
        <v>109</v>
      </c>
      <c r="E262" s="2" t="s">
        <v>1381</v>
      </c>
      <c r="F262" s="2" t="s">
        <v>3</v>
      </c>
      <c r="G262" s="2" t="s">
        <v>353</v>
      </c>
      <c r="I262" s="2" t="s">
        <v>434</v>
      </c>
      <c r="J262"/>
      <c r="K262"/>
      <c r="L26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ETVMN.TR3.151N_DI</v>
      </c>
      <c r="N262" s="13" t="str">
        <f>VLOOKUP(Tabla3[[#This Row],[Tipo]],TIPO[#All],2,0)</f>
        <v>ET</v>
      </c>
      <c r="O262" s="13" t="str">
        <f>VLOOKUP(Tabla3[[#This Row],[Lugar]],LUGAR[#All],2,0)</f>
        <v>VMN</v>
      </c>
      <c r="P262" s="13" t="str">
        <f>Tabla3[[#This Row],[SIGLAS]]</f>
        <v>TR3</v>
      </c>
      <c r="Q262" s="13">
        <f>_xlfn.IFNA(VLOOKUP(Tabla3[[#This Row],[Nivel de tension]],NIVEL[#All],2,0),"")</f>
        <v>1</v>
      </c>
      <c r="R262" s="13" t="str">
        <f>_xlfn.IFNA(VLOOKUP(Tabla3[[#This Row],[DISPOSITIVO]],DISPOSITIVO[],2,0),"")</f>
        <v>51N_</v>
      </c>
      <c r="S262" s="13" t="str">
        <f>_xlfn.IFNA(VLOOKUP(Tabla3[[#This Row],[PROTECCION SECUNDARIA]],PROTECCION_SECUNDARIA[],2,0),"")</f>
        <v/>
      </c>
      <c r="T262" s="13" t="str">
        <f>_xlfn.IFNA(VLOOKUP(Tabla3[[#This Row],[Que]],QUE[#All],2,0),"")</f>
        <v>DI</v>
      </c>
      <c r="U262" s="13" t="str">
        <f>_xlfn.IFNA(VLOOKUP(Tabla3[[#This Row],[Señal]],SEÑAL[#All],2,0),"")</f>
        <v/>
      </c>
      <c r="V262" s="13" t="str">
        <f>_xlfn.IFNA(VLOOKUP(Tabla3[[#This Row],[NUMERO]],SEÑAL[#All],2,0),"")</f>
        <v/>
      </c>
    </row>
    <row r="263" spans="1:22" x14ac:dyDescent="0.25">
      <c r="A263" s="26" t="s">
        <v>1060</v>
      </c>
      <c r="B263" s="2" t="s">
        <v>8</v>
      </c>
      <c r="C263" s="2" t="s">
        <v>89</v>
      </c>
      <c r="D263" s="2" t="s">
        <v>109</v>
      </c>
      <c r="E263" s="2" t="s">
        <v>1381</v>
      </c>
      <c r="F263" s="2" t="s">
        <v>14</v>
      </c>
      <c r="G263" s="2" t="s">
        <v>348</v>
      </c>
      <c r="I263" s="2" t="s">
        <v>434</v>
      </c>
      <c r="J263"/>
      <c r="K263"/>
      <c r="L26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ETVMN.TR3.350_DI</v>
      </c>
      <c r="N263" s="13" t="str">
        <f>VLOOKUP(Tabla3[[#This Row],[Tipo]],TIPO[#All],2,0)</f>
        <v>ET</v>
      </c>
      <c r="O263" s="13" t="str">
        <f>VLOOKUP(Tabla3[[#This Row],[Lugar]],LUGAR[#All],2,0)</f>
        <v>VMN</v>
      </c>
      <c r="P263" s="13" t="str">
        <f>Tabla3[[#This Row],[SIGLAS]]</f>
        <v>TR3</v>
      </c>
      <c r="Q263" s="13">
        <f>_xlfn.IFNA(VLOOKUP(Tabla3[[#This Row],[Nivel de tension]],NIVEL[#All],2,0),"")</f>
        <v>3</v>
      </c>
      <c r="R263" s="13" t="str">
        <f>_xlfn.IFNA(VLOOKUP(Tabla3[[#This Row],[DISPOSITIVO]],DISPOSITIVO[],2,0),"")</f>
        <v>50_</v>
      </c>
      <c r="S263" s="13" t="str">
        <f>_xlfn.IFNA(VLOOKUP(Tabla3[[#This Row],[PROTECCION SECUNDARIA]],PROTECCION_SECUNDARIA[],2,0),"")</f>
        <v/>
      </c>
      <c r="T263" s="13" t="str">
        <f>_xlfn.IFNA(VLOOKUP(Tabla3[[#This Row],[Que]],QUE[#All],2,0),"")</f>
        <v>DI</v>
      </c>
      <c r="U263" s="13" t="str">
        <f>_xlfn.IFNA(VLOOKUP(Tabla3[[#This Row],[Señal]],SEÑAL[#All],2,0),"")</f>
        <v/>
      </c>
      <c r="V263" s="13" t="str">
        <f>_xlfn.IFNA(VLOOKUP(Tabla3[[#This Row],[NUMERO]],SEÑAL[#All],2,0),"")</f>
        <v/>
      </c>
    </row>
    <row r="264" spans="1:22" x14ac:dyDescent="0.25">
      <c r="A264" s="26" t="s">
        <v>1061</v>
      </c>
      <c r="B264" s="2" t="s">
        <v>8</v>
      </c>
      <c r="C264" s="2" t="s">
        <v>89</v>
      </c>
      <c r="D264" s="2" t="s">
        <v>109</v>
      </c>
      <c r="E264" s="2" t="s">
        <v>1381</v>
      </c>
      <c r="F264" s="2" t="s">
        <v>14</v>
      </c>
      <c r="G264" s="2" t="s">
        <v>350</v>
      </c>
      <c r="I264" s="2" t="s">
        <v>403</v>
      </c>
      <c r="J264"/>
      <c r="K264"/>
      <c r="L26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ETVMN.TR3.35051N_AR</v>
      </c>
      <c r="N264" s="13" t="str">
        <f>VLOOKUP(Tabla3[[#This Row],[Tipo]],TIPO[#All],2,0)</f>
        <v>ET</v>
      </c>
      <c r="O264" s="13" t="str">
        <f>VLOOKUP(Tabla3[[#This Row],[Lugar]],LUGAR[#All],2,0)</f>
        <v>VMN</v>
      </c>
      <c r="P264" s="13" t="str">
        <f>Tabla3[[#This Row],[SIGLAS]]</f>
        <v>TR3</v>
      </c>
      <c r="Q264" s="13">
        <f>_xlfn.IFNA(VLOOKUP(Tabla3[[#This Row],[Nivel de tension]],NIVEL[#All],2,0),"")</f>
        <v>3</v>
      </c>
      <c r="R264" s="13" t="str">
        <f>_xlfn.IFNA(VLOOKUP(Tabla3[[#This Row],[DISPOSITIVO]],DISPOSITIVO[],2,0),"")</f>
        <v>5051N_</v>
      </c>
      <c r="S264" s="13" t="str">
        <f>_xlfn.IFNA(VLOOKUP(Tabla3[[#This Row],[PROTECCION SECUNDARIA]],PROTECCION_SECUNDARIA[],2,0),"")</f>
        <v/>
      </c>
      <c r="T264" s="13" t="str">
        <f>_xlfn.IFNA(VLOOKUP(Tabla3[[#This Row],[Que]],QUE[#All],2,0),"")</f>
        <v>AR</v>
      </c>
      <c r="U264" s="13" t="str">
        <f>_xlfn.IFNA(VLOOKUP(Tabla3[[#This Row],[Señal]],SEÑAL[#All],2,0),"")</f>
        <v/>
      </c>
      <c r="V264" s="13" t="str">
        <f>_xlfn.IFNA(VLOOKUP(Tabla3[[#This Row],[NUMERO]],SEÑAL[#All],2,0),"")</f>
        <v/>
      </c>
    </row>
    <row r="265" spans="1:22" x14ac:dyDescent="0.25">
      <c r="A265" s="26" t="s">
        <v>1062</v>
      </c>
      <c r="B265" s="2" t="s">
        <v>8</v>
      </c>
      <c r="C265" s="2" t="s">
        <v>89</v>
      </c>
      <c r="D265" s="2" t="s">
        <v>109</v>
      </c>
      <c r="E265" s="2" t="s">
        <v>1381</v>
      </c>
      <c r="F265" s="2" t="s">
        <v>14</v>
      </c>
      <c r="G265" s="2" t="s">
        <v>349</v>
      </c>
      <c r="I265" s="2" t="s">
        <v>403</v>
      </c>
      <c r="J265" t="s">
        <v>611</v>
      </c>
      <c r="K265"/>
      <c r="L26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ETVMN.TR3.35051_AR_R</v>
      </c>
      <c r="N265" s="13" t="str">
        <f>VLOOKUP(Tabla3[[#This Row],[Tipo]],TIPO[#All],2,0)</f>
        <v>ET</v>
      </c>
      <c r="O265" s="13" t="str">
        <f>VLOOKUP(Tabla3[[#This Row],[Lugar]],LUGAR[#All],2,0)</f>
        <v>VMN</v>
      </c>
      <c r="P265" s="13" t="str">
        <f>Tabla3[[#This Row],[SIGLAS]]</f>
        <v>TR3</v>
      </c>
      <c r="Q265" s="13">
        <f>_xlfn.IFNA(VLOOKUP(Tabla3[[#This Row],[Nivel de tension]],NIVEL[#All],2,0),"")</f>
        <v>3</v>
      </c>
      <c r="R265" s="13" t="str">
        <f>_xlfn.IFNA(VLOOKUP(Tabla3[[#This Row],[DISPOSITIVO]],DISPOSITIVO[],2,0),"")</f>
        <v>5051_</v>
      </c>
      <c r="S265" s="13" t="str">
        <f>_xlfn.IFNA(VLOOKUP(Tabla3[[#This Row],[PROTECCION SECUNDARIA]],PROTECCION_SECUNDARIA[],2,0),"")</f>
        <v/>
      </c>
      <c r="T265" s="13" t="str">
        <f>_xlfn.IFNA(VLOOKUP(Tabla3[[#This Row],[Que]],QUE[#All],2,0),"")</f>
        <v>AR</v>
      </c>
      <c r="U265" s="13" t="str">
        <f>_xlfn.IFNA(VLOOKUP(Tabla3[[#This Row],[Señal]],SEÑAL[#All],2,0),"")</f>
        <v>_R</v>
      </c>
      <c r="V265" s="13" t="str">
        <f>_xlfn.IFNA(VLOOKUP(Tabla3[[#This Row],[NUMERO]],SEÑAL[#All],2,0),"")</f>
        <v/>
      </c>
    </row>
    <row r="266" spans="1:22" x14ac:dyDescent="0.25">
      <c r="A266" s="26" t="s">
        <v>1063</v>
      </c>
      <c r="B266" s="2" t="s">
        <v>8</v>
      </c>
      <c r="C266" s="2" t="s">
        <v>89</v>
      </c>
      <c r="D266" s="2" t="s">
        <v>109</v>
      </c>
      <c r="E266" s="2" t="s">
        <v>1381</v>
      </c>
      <c r="F266" s="2" t="s">
        <v>14</v>
      </c>
      <c r="G266" s="2" t="s">
        <v>349</v>
      </c>
      <c r="I266" s="2" t="s">
        <v>403</v>
      </c>
      <c r="J266" t="s">
        <v>634</v>
      </c>
      <c r="K266"/>
      <c r="L26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ETVMN.TR3.35051_AR_S</v>
      </c>
      <c r="N266" s="13" t="str">
        <f>VLOOKUP(Tabla3[[#This Row],[Tipo]],TIPO[#All],2,0)</f>
        <v>ET</v>
      </c>
      <c r="O266" s="13" t="str">
        <f>VLOOKUP(Tabla3[[#This Row],[Lugar]],LUGAR[#All],2,0)</f>
        <v>VMN</v>
      </c>
      <c r="P266" s="13" t="str">
        <f>Tabla3[[#This Row],[SIGLAS]]</f>
        <v>TR3</v>
      </c>
      <c r="Q266" s="13">
        <f>_xlfn.IFNA(VLOOKUP(Tabla3[[#This Row],[Nivel de tension]],NIVEL[#All],2,0),"")</f>
        <v>3</v>
      </c>
      <c r="R266" s="13" t="str">
        <f>_xlfn.IFNA(VLOOKUP(Tabla3[[#This Row],[DISPOSITIVO]],DISPOSITIVO[],2,0),"")</f>
        <v>5051_</v>
      </c>
      <c r="S266" s="13" t="str">
        <f>_xlfn.IFNA(VLOOKUP(Tabla3[[#This Row],[PROTECCION SECUNDARIA]],PROTECCION_SECUNDARIA[],2,0),"")</f>
        <v/>
      </c>
      <c r="T266" s="13" t="str">
        <f>_xlfn.IFNA(VLOOKUP(Tabla3[[#This Row],[Que]],QUE[#All],2,0),"")</f>
        <v>AR</v>
      </c>
      <c r="U266" s="13" t="str">
        <f>_xlfn.IFNA(VLOOKUP(Tabla3[[#This Row],[Señal]],SEÑAL[#All],2,0),"")</f>
        <v>_S</v>
      </c>
      <c r="V266" s="13" t="str">
        <f>_xlfn.IFNA(VLOOKUP(Tabla3[[#This Row],[NUMERO]],SEÑAL[#All],2,0),"")</f>
        <v/>
      </c>
    </row>
    <row r="267" spans="1:22" x14ac:dyDescent="0.25">
      <c r="A267" s="26" t="s">
        <v>1064</v>
      </c>
      <c r="B267" s="2" t="s">
        <v>8</v>
      </c>
      <c r="C267" s="2" t="s">
        <v>89</v>
      </c>
      <c r="D267" s="2" t="s">
        <v>109</v>
      </c>
      <c r="E267" s="2" t="s">
        <v>1381</v>
      </c>
      <c r="F267" s="2" t="s">
        <v>14</v>
      </c>
      <c r="G267" s="2" t="s">
        <v>349</v>
      </c>
      <c r="I267" s="2" t="s">
        <v>403</v>
      </c>
      <c r="J267" t="s">
        <v>647</v>
      </c>
      <c r="K267"/>
      <c r="L26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ETVMN.TR3.35051_AR_T</v>
      </c>
      <c r="N267" s="13" t="str">
        <f>VLOOKUP(Tabla3[[#This Row],[Tipo]],TIPO[#All],2,0)</f>
        <v>ET</v>
      </c>
      <c r="O267" s="13" t="str">
        <f>VLOOKUP(Tabla3[[#This Row],[Lugar]],LUGAR[#All],2,0)</f>
        <v>VMN</v>
      </c>
      <c r="P267" s="13" t="str">
        <f>Tabla3[[#This Row],[SIGLAS]]</f>
        <v>TR3</v>
      </c>
      <c r="Q267" s="13">
        <f>_xlfn.IFNA(VLOOKUP(Tabla3[[#This Row],[Nivel de tension]],NIVEL[#All],2,0),"")</f>
        <v>3</v>
      </c>
      <c r="R267" s="13" t="str">
        <f>_xlfn.IFNA(VLOOKUP(Tabla3[[#This Row],[DISPOSITIVO]],DISPOSITIVO[],2,0),"")</f>
        <v>5051_</v>
      </c>
      <c r="S267" s="13" t="str">
        <f>_xlfn.IFNA(VLOOKUP(Tabla3[[#This Row],[PROTECCION SECUNDARIA]],PROTECCION_SECUNDARIA[],2,0),"")</f>
        <v/>
      </c>
      <c r="T267" s="13" t="str">
        <f>_xlfn.IFNA(VLOOKUP(Tabla3[[#This Row],[Que]],QUE[#All],2,0),"")</f>
        <v>AR</v>
      </c>
      <c r="U267" s="13" t="str">
        <f>_xlfn.IFNA(VLOOKUP(Tabla3[[#This Row],[Señal]],SEÑAL[#All],2,0),"")</f>
        <v>_T</v>
      </c>
      <c r="V267" s="13" t="str">
        <f>_xlfn.IFNA(VLOOKUP(Tabla3[[#This Row],[NUMERO]],SEÑAL[#All],2,0),"")</f>
        <v/>
      </c>
    </row>
    <row r="268" spans="1:22" x14ac:dyDescent="0.25">
      <c r="A268" s="26" t="s">
        <v>1065</v>
      </c>
      <c r="B268" s="2" t="s">
        <v>8</v>
      </c>
      <c r="C268" s="2" t="s">
        <v>89</v>
      </c>
      <c r="D268" s="2" t="s">
        <v>109</v>
      </c>
      <c r="E268" s="2" t="s">
        <v>1381</v>
      </c>
      <c r="F268" s="2" t="s">
        <v>14</v>
      </c>
      <c r="G268" s="2" t="s">
        <v>351</v>
      </c>
      <c r="I268" s="2" t="s">
        <v>434</v>
      </c>
      <c r="J268"/>
      <c r="K268"/>
      <c r="L26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ETVMN.TR3.350N_DI</v>
      </c>
      <c r="N268" s="13" t="str">
        <f>VLOOKUP(Tabla3[[#This Row],[Tipo]],TIPO[#All],2,0)</f>
        <v>ET</v>
      </c>
      <c r="O268" s="13" t="str">
        <f>VLOOKUP(Tabla3[[#This Row],[Lugar]],LUGAR[#All],2,0)</f>
        <v>VMN</v>
      </c>
      <c r="P268" s="13" t="str">
        <f>Tabla3[[#This Row],[SIGLAS]]</f>
        <v>TR3</v>
      </c>
      <c r="Q268" s="13">
        <f>_xlfn.IFNA(VLOOKUP(Tabla3[[#This Row],[Nivel de tension]],NIVEL[#All],2,0),"")</f>
        <v>3</v>
      </c>
      <c r="R268" s="13" t="str">
        <f>_xlfn.IFNA(VLOOKUP(Tabla3[[#This Row],[DISPOSITIVO]],DISPOSITIVO[],2,0),"")</f>
        <v>50N_</v>
      </c>
      <c r="S268" s="13" t="str">
        <f>_xlfn.IFNA(VLOOKUP(Tabla3[[#This Row],[PROTECCION SECUNDARIA]],PROTECCION_SECUNDARIA[],2,0),"")</f>
        <v/>
      </c>
      <c r="T268" s="13" t="str">
        <f>_xlfn.IFNA(VLOOKUP(Tabla3[[#This Row],[Que]],QUE[#All],2,0),"")</f>
        <v>DI</v>
      </c>
      <c r="U268" s="13" t="str">
        <f>_xlfn.IFNA(VLOOKUP(Tabla3[[#This Row],[Señal]],SEÑAL[#All],2,0),"")</f>
        <v/>
      </c>
      <c r="V268" s="13" t="str">
        <f>_xlfn.IFNA(VLOOKUP(Tabla3[[#This Row],[NUMERO]],SEÑAL[#All],2,0),"")</f>
        <v/>
      </c>
    </row>
    <row r="269" spans="1:22" x14ac:dyDescent="0.25">
      <c r="A269" s="26" t="s">
        <v>1066</v>
      </c>
      <c r="B269" s="2" t="s">
        <v>8</v>
      </c>
      <c r="C269" s="2" t="s">
        <v>89</v>
      </c>
      <c r="D269" s="2" t="s">
        <v>109</v>
      </c>
      <c r="E269" s="2" t="s">
        <v>1381</v>
      </c>
      <c r="F269" s="2" t="s">
        <v>14</v>
      </c>
      <c r="G269" s="2" t="s">
        <v>352</v>
      </c>
      <c r="I269" s="2" t="s">
        <v>403</v>
      </c>
      <c r="J269"/>
      <c r="K269"/>
      <c r="L26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ETVMN.TR3.351_AR</v>
      </c>
      <c r="N269" s="13" t="str">
        <f>VLOOKUP(Tabla3[[#This Row],[Tipo]],TIPO[#All],2,0)</f>
        <v>ET</v>
      </c>
      <c r="O269" s="13" t="str">
        <f>VLOOKUP(Tabla3[[#This Row],[Lugar]],LUGAR[#All],2,0)</f>
        <v>VMN</v>
      </c>
      <c r="P269" s="13" t="str">
        <f>Tabla3[[#This Row],[SIGLAS]]</f>
        <v>TR3</v>
      </c>
      <c r="Q269" s="13">
        <f>_xlfn.IFNA(VLOOKUP(Tabla3[[#This Row],[Nivel de tension]],NIVEL[#All],2,0),"")</f>
        <v>3</v>
      </c>
      <c r="R269" s="13" t="str">
        <f>_xlfn.IFNA(VLOOKUP(Tabla3[[#This Row],[DISPOSITIVO]],DISPOSITIVO[],2,0),"")</f>
        <v>51_</v>
      </c>
      <c r="S269" s="13" t="str">
        <f>_xlfn.IFNA(VLOOKUP(Tabla3[[#This Row],[PROTECCION SECUNDARIA]],PROTECCION_SECUNDARIA[],2,0),"")</f>
        <v/>
      </c>
      <c r="T269" s="13" t="str">
        <f>_xlfn.IFNA(VLOOKUP(Tabla3[[#This Row],[Que]],QUE[#All],2,0),"")</f>
        <v>AR</v>
      </c>
      <c r="U269" s="13" t="str">
        <f>_xlfn.IFNA(VLOOKUP(Tabla3[[#This Row],[Señal]],SEÑAL[#All],2,0),"")</f>
        <v/>
      </c>
      <c r="V269" s="13" t="str">
        <f>_xlfn.IFNA(VLOOKUP(Tabla3[[#This Row],[NUMERO]],SEÑAL[#All],2,0),"")</f>
        <v/>
      </c>
    </row>
    <row r="270" spans="1:22" x14ac:dyDescent="0.25">
      <c r="A270" s="26" t="s">
        <v>1067</v>
      </c>
      <c r="B270" s="2" t="s">
        <v>8</v>
      </c>
      <c r="C270" s="2" t="s">
        <v>89</v>
      </c>
      <c r="D270" s="2" t="s">
        <v>109</v>
      </c>
      <c r="E270" s="2" t="s">
        <v>1381</v>
      </c>
      <c r="F270" s="2" t="s">
        <v>14</v>
      </c>
      <c r="G270" s="2" t="s">
        <v>352</v>
      </c>
      <c r="I270" s="2" t="s">
        <v>434</v>
      </c>
      <c r="J270"/>
      <c r="K270"/>
      <c r="L27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ETVMN.TR3.351_DI</v>
      </c>
      <c r="N270" s="13" t="str">
        <f>VLOOKUP(Tabla3[[#This Row],[Tipo]],TIPO[#All],2,0)</f>
        <v>ET</v>
      </c>
      <c r="O270" s="13" t="str">
        <f>VLOOKUP(Tabla3[[#This Row],[Lugar]],LUGAR[#All],2,0)</f>
        <v>VMN</v>
      </c>
      <c r="P270" s="13" t="str">
        <f>Tabla3[[#This Row],[SIGLAS]]</f>
        <v>TR3</v>
      </c>
      <c r="Q270" s="13">
        <f>_xlfn.IFNA(VLOOKUP(Tabla3[[#This Row],[Nivel de tension]],NIVEL[#All],2,0),"")</f>
        <v>3</v>
      </c>
      <c r="R270" s="13" t="str">
        <f>_xlfn.IFNA(VLOOKUP(Tabla3[[#This Row],[DISPOSITIVO]],DISPOSITIVO[],2,0),"")</f>
        <v>51_</v>
      </c>
      <c r="S270" s="13" t="str">
        <f>_xlfn.IFNA(VLOOKUP(Tabla3[[#This Row],[PROTECCION SECUNDARIA]],PROTECCION_SECUNDARIA[],2,0),"")</f>
        <v/>
      </c>
      <c r="T270" s="13" t="str">
        <f>_xlfn.IFNA(VLOOKUP(Tabla3[[#This Row],[Que]],QUE[#All],2,0),"")</f>
        <v>DI</v>
      </c>
      <c r="U270" s="13" t="str">
        <f>_xlfn.IFNA(VLOOKUP(Tabla3[[#This Row],[Señal]],SEÑAL[#All],2,0),"")</f>
        <v/>
      </c>
      <c r="V270" s="13" t="str">
        <f>_xlfn.IFNA(VLOOKUP(Tabla3[[#This Row],[NUMERO]],SEÑAL[#All],2,0),"")</f>
        <v/>
      </c>
    </row>
    <row r="271" spans="1:22" x14ac:dyDescent="0.25">
      <c r="A271" s="26" t="s">
        <v>1068</v>
      </c>
      <c r="B271" s="2" t="s">
        <v>8</v>
      </c>
      <c r="C271" s="2" t="s">
        <v>89</v>
      </c>
      <c r="D271" s="2" t="s">
        <v>109</v>
      </c>
      <c r="E271" s="2" t="s">
        <v>1381</v>
      </c>
      <c r="F271" s="2" t="s">
        <v>14</v>
      </c>
      <c r="I271" s="2" t="s">
        <v>434</v>
      </c>
      <c r="J271" t="s">
        <v>111</v>
      </c>
      <c r="K271"/>
      <c r="L27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ETVMN.TR3.3DIGRAL</v>
      </c>
      <c r="N271" s="13" t="str">
        <f>VLOOKUP(Tabla3[[#This Row],[Tipo]],TIPO[#All],2,0)</f>
        <v>ET</v>
      </c>
      <c r="O271" s="13" t="str">
        <f>VLOOKUP(Tabla3[[#This Row],[Lugar]],LUGAR[#All],2,0)</f>
        <v>VMN</v>
      </c>
      <c r="P271" s="13" t="str">
        <f>Tabla3[[#This Row],[SIGLAS]]</f>
        <v>TR3</v>
      </c>
      <c r="Q271" s="13">
        <f>_xlfn.IFNA(VLOOKUP(Tabla3[[#This Row],[Nivel de tension]],NIVEL[#All],2,0),"")</f>
        <v>3</v>
      </c>
      <c r="R271" s="13" t="str">
        <f>_xlfn.IFNA(VLOOKUP(Tabla3[[#This Row],[DISPOSITIVO]],DISPOSITIVO[],2,0),"")</f>
        <v/>
      </c>
      <c r="S271" s="13" t="str">
        <f>_xlfn.IFNA(VLOOKUP(Tabla3[[#This Row],[PROTECCION SECUNDARIA]],PROTECCION_SECUNDARIA[],2,0),"")</f>
        <v/>
      </c>
      <c r="T271" s="13" t="str">
        <f>_xlfn.IFNA(VLOOKUP(Tabla3[[#This Row],[Que]],QUE[#All],2,0),"")</f>
        <v>DI</v>
      </c>
      <c r="U271" s="13" t="str">
        <f>_xlfn.IFNA(VLOOKUP(Tabla3[[#This Row],[Señal]],SEÑAL[#All],2,0),"")</f>
        <v>GRAL</v>
      </c>
      <c r="V271" s="13" t="str">
        <f>_xlfn.IFNA(VLOOKUP(Tabla3[[#This Row],[NUMERO]],SEÑAL[#All],2,0),"")</f>
        <v/>
      </c>
    </row>
    <row r="272" spans="1:22" x14ac:dyDescent="0.25">
      <c r="A272" s="26" t="s">
        <v>1069</v>
      </c>
      <c r="B272" s="2" t="s">
        <v>8</v>
      </c>
      <c r="C272" s="2" t="s">
        <v>89</v>
      </c>
      <c r="D272" s="2" t="s">
        <v>109</v>
      </c>
      <c r="E272" s="2" t="s">
        <v>1381</v>
      </c>
      <c r="F272" s="2" t="s">
        <v>14</v>
      </c>
      <c r="I272" s="2" t="s">
        <v>477</v>
      </c>
      <c r="J272"/>
      <c r="K272"/>
      <c r="L27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ETVMN.TR3.3RELE</v>
      </c>
      <c r="N272" s="13" t="str">
        <f>VLOOKUP(Tabla3[[#This Row],[Tipo]],TIPO[#All],2,0)</f>
        <v>ET</v>
      </c>
      <c r="O272" s="13" t="str">
        <f>VLOOKUP(Tabla3[[#This Row],[Lugar]],LUGAR[#All],2,0)</f>
        <v>VMN</v>
      </c>
      <c r="P272" s="13" t="str">
        <f>Tabla3[[#This Row],[SIGLAS]]</f>
        <v>TR3</v>
      </c>
      <c r="Q272" s="13">
        <f>_xlfn.IFNA(VLOOKUP(Tabla3[[#This Row],[Nivel de tension]],NIVEL[#All],2,0),"")</f>
        <v>3</v>
      </c>
      <c r="R272" s="13" t="str">
        <f>_xlfn.IFNA(VLOOKUP(Tabla3[[#This Row],[DISPOSITIVO]],DISPOSITIVO[],2,0),"")</f>
        <v/>
      </c>
      <c r="S272" s="13" t="str">
        <f>_xlfn.IFNA(VLOOKUP(Tabla3[[#This Row],[PROTECCION SECUNDARIA]],PROTECCION_SECUNDARIA[],2,0),"")</f>
        <v/>
      </c>
      <c r="T272" s="13" t="str">
        <f>_xlfn.IFNA(VLOOKUP(Tabla3[[#This Row],[Que]],QUE[#All],2,0),"")</f>
        <v>RELE</v>
      </c>
      <c r="U272" s="13" t="str">
        <f>_xlfn.IFNA(VLOOKUP(Tabla3[[#This Row],[Señal]],SEÑAL[#All],2,0),"")</f>
        <v/>
      </c>
      <c r="V272" s="13" t="str">
        <f>_xlfn.IFNA(VLOOKUP(Tabla3[[#This Row],[NUMERO]],SEÑAL[#All],2,0),"")</f>
        <v/>
      </c>
    </row>
    <row r="273" spans="1:22" x14ac:dyDescent="0.25">
      <c r="A273" s="26" t="s">
        <v>1070</v>
      </c>
      <c r="B273" s="2" t="s">
        <v>8</v>
      </c>
      <c r="C273" s="2" t="s">
        <v>89</v>
      </c>
      <c r="D273" s="2" t="s">
        <v>109</v>
      </c>
      <c r="E273" s="2" t="s">
        <v>1381</v>
      </c>
      <c r="F273" s="2" t="s">
        <v>14</v>
      </c>
      <c r="G273" s="2" t="s">
        <v>353</v>
      </c>
      <c r="I273" s="2" t="s">
        <v>403</v>
      </c>
      <c r="J273"/>
      <c r="K273"/>
      <c r="L27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ETVMN.TR3.351N_AR</v>
      </c>
      <c r="N273" s="13" t="str">
        <f>VLOOKUP(Tabla3[[#This Row],[Tipo]],TIPO[#All],2,0)</f>
        <v>ET</v>
      </c>
      <c r="O273" s="13" t="str">
        <f>VLOOKUP(Tabla3[[#This Row],[Lugar]],LUGAR[#All],2,0)</f>
        <v>VMN</v>
      </c>
      <c r="P273" s="13" t="str">
        <f>Tabla3[[#This Row],[SIGLAS]]</f>
        <v>TR3</v>
      </c>
      <c r="Q273" s="13">
        <f>_xlfn.IFNA(VLOOKUP(Tabla3[[#This Row],[Nivel de tension]],NIVEL[#All],2,0),"")</f>
        <v>3</v>
      </c>
      <c r="R273" s="13" t="str">
        <f>_xlfn.IFNA(VLOOKUP(Tabla3[[#This Row],[DISPOSITIVO]],DISPOSITIVO[],2,0),"")</f>
        <v>51N_</v>
      </c>
      <c r="S273" s="13" t="str">
        <f>_xlfn.IFNA(VLOOKUP(Tabla3[[#This Row],[PROTECCION SECUNDARIA]],PROTECCION_SECUNDARIA[],2,0),"")</f>
        <v/>
      </c>
      <c r="T273" s="13" t="str">
        <f>_xlfn.IFNA(VLOOKUP(Tabla3[[#This Row],[Que]],QUE[#All],2,0),"")</f>
        <v>AR</v>
      </c>
      <c r="U273" s="13" t="str">
        <f>_xlfn.IFNA(VLOOKUP(Tabla3[[#This Row],[Señal]],SEÑAL[#All],2,0),"")</f>
        <v/>
      </c>
      <c r="V273" s="13" t="str">
        <f>_xlfn.IFNA(VLOOKUP(Tabla3[[#This Row],[NUMERO]],SEÑAL[#All],2,0),"")</f>
        <v/>
      </c>
    </row>
    <row r="274" spans="1:22" x14ac:dyDescent="0.25">
      <c r="A274" s="26" t="s">
        <v>1071</v>
      </c>
      <c r="B274" s="2" t="s">
        <v>8</v>
      </c>
      <c r="C274" s="2" t="s">
        <v>89</v>
      </c>
      <c r="D274" s="2" t="s">
        <v>109</v>
      </c>
      <c r="E274" s="2" t="s">
        <v>1381</v>
      </c>
      <c r="F274" s="2" t="s">
        <v>14</v>
      </c>
      <c r="G274" s="2" t="s">
        <v>353</v>
      </c>
      <c r="I274" s="2" t="s">
        <v>434</v>
      </c>
      <c r="J274"/>
      <c r="K274"/>
      <c r="L27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ETVMN.TR3.351N_DI</v>
      </c>
      <c r="N274" s="13" t="str">
        <f>VLOOKUP(Tabla3[[#This Row],[Tipo]],TIPO[#All],2,0)</f>
        <v>ET</v>
      </c>
      <c r="O274" s="13" t="str">
        <f>VLOOKUP(Tabla3[[#This Row],[Lugar]],LUGAR[#All],2,0)</f>
        <v>VMN</v>
      </c>
      <c r="P274" s="13" t="str">
        <f>Tabla3[[#This Row],[SIGLAS]]</f>
        <v>TR3</v>
      </c>
      <c r="Q274" s="13">
        <f>_xlfn.IFNA(VLOOKUP(Tabla3[[#This Row],[Nivel de tension]],NIVEL[#All],2,0),"")</f>
        <v>3</v>
      </c>
      <c r="R274" s="13" t="str">
        <f>_xlfn.IFNA(VLOOKUP(Tabla3[[#This Row],[DISPOSITIVO]],DISPOSITIVO[],2,0),"")</f>
        <v>51N_</v>
      </c>
      <c r="S274" s="13" t="str">
        <f>_xlfn.IFNA(VLOOKUP(Tabla3[[#This Row],[PROTECCION SECUNDARIA]],PROTECCION_SECUNDARIA[],2,0),"")</f>
        <v/>
      </c>
      <c r="T274" s="13" t="str">
        <f>_xlfn.IFNA(VLOOKUP(Tabla3[[#This Row],[Que]],QUE[#All],2,0),"")</f>
        <v>DI</v>
      </c>
      <c r="U274" s="13" t="str">
        <f>_xlfn.IFNA(VLOOKUP(Tabla3[[#This Row],[Señal]],SEÑAL[#All],2,0),"")</f>
        <v/>
      </c>
      <c r="V274" s="13" t="str">
        <f>_xlfn.IFNA(VLOOKUP(Tabla3[[#This Row],[NUMERO]],SEÑAL[#All],2,0),"")</f>
        <v/>
      </c>
    </row>
    <row r="275" spans="1:22" x14ac:dyDescent="0.25">
      <c r="A275" s="26" t="s">
        <v>1072</v>
      </c>
      <c r="B275" s="2" t="s">
        <v>8</v>
      </c>
      <c r="C275" s="2" t="s">
        <v>89</v>
      </c>
      <c r="D275" s="2" t="s">
        <v>109</v>
      </c>
      <c r="E275" s="2" t="s">
        <v>1381</v>
      </c>
      <c r="F275" s="2" t="s">
        <v>14</v>
      </c>
      <c r="G275" s="2" t="s">
        <v>349</v>
      </c>
      <c r="I275" s="2" t="s">
        <v>395</v>
      </c>
      <c r="J275" t="s">
        <v>611</v>
      </c>
      <c r="K275"/>
      <c r="L27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ETVMN.TR3.35051_A_R</v>
      </c>
      <c r="N275" s="13" t="str">
        <f>VLOOKUP(Tabla3[[#This Row],[Tipo]],TIPO[#All],2,0)</f>
        <v>ET</v>
      </c>
      <c r="O275" s="13" t="str">
        <f>VLOOKUP(Tabla3[[#This Row],[Lugar]],LUGAR[#All],2,0)</f>
        <v>VMN</v>
      </c>
      <c r="P275" s="13" t="str">
        <f>Tabla3[[#This Row],[SIGLAS]]</f>
        <v>TR3</v>
      </c>
      <c r="Q275" s="13">
        <f>_xlfn.IFNA(VLOOKUP(Tabla3[[#This Row],[Nivel de tension]],NIVEL[#All],2,0),"")</f>
        <v>3</v>
      </c>
      <c r="R275" s="13" t="str">
        <f>_xlfn.IFNA(VLOOKUP(Tabla3[[#This Row],[DISPOSITIVO]],DISPOSITIVO[],2,0),"")</f>
        <v>5051_</v>
      </c>
      <c r="S275" s="13" t="str">
        <f>_xlfn.IFNA(VLOOKUP(Tabla3[[#This Row],[PROTECCION SECUNDARIA]],PROTECCION_SECUNDARIA[],2,0),"")</f>
        <v/>
      </c>
      <c r="T275" s="13" t="str">
        <f>_xlfn.IFNA(VLOOKUP(Tabla3[[#This Row],[Que]],QUE[#All],2,0),"")</f>
        <v>A</v>
      </c>
      <c r="U275" s="13" t="str">
        <f>_xlfn.IFNA(VLOOKUP(Tabla3[[#This Row],[Señal]],SEÑAL[#All],2,0),"")</f>
        <v>_R</v>
      </c>
      <c r="V275" s="13" t="str">
        <f>_xlfn.IFNA(VLOOKUP(Tabla3[[#This Row],[NUMERO]],SEÑAL[#All],2,0),"")</f>
        <v/>
      </c>
    </row>
    <row r="276" spans="1:22" x14ac:dyDescent="0.25">
      <c r="A276" s="26" t="s">
        <v>1073</v>
      </c>
      <c r="B276" s="2" t="s">
        <v>8</v>
      </c>
      <c r="C276" s="2" t="s">
        <v>89</v>
      </c>
      <c r="D276" s="2" t="s">
        <v>109</v>
      </c>
      <c r="E276" s="2" t="s">
        <v>1381</v>
      </c>
      <c r="F276" s="2" t="s">
        <v>14</v>
      </c>
      <c r="G276" s="2" t="s">
        <v>349</v>
      </c>
      <c r="I276" s="2" t="s">
        <v>395</v>
      </c>
      <c r="J276" t="s">
        <v>634</v>
      </c>
      <c r="K276"/>
      <c r="L27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ETVMN.TR3.35051_A_S</v>
      </c>
      <c r="N276" s="13" t="str">
        <f>VLOOKUP(Tabla3[[#This Row],[Tipo]],TIPO[#All],2,0)</f>
        <v>ET</v>
      </c>
      <c r="O276" s="13" t="str">
        <f>VLOOKUP(Tabla3[[#This Row],[Lugar]],LUGAR[#All],2,0)</f>
        <v>VMN</v>
      </c>
      <c r="P276" s="13" t="str">
        <f>Tabla3[[#This Row],[SIGLAS]]</f>
        <v>TR3</v>
      </c>
      <c r="Q276" s="13">
        <f>_xlfn.IFNA(VLOOKUP(Tabla3[[#This Row],[Nivel de tension]],NIVEL[#All],2,0),"")</f>
        <v>3</v>
      </c>
      <c r="R276" s="13" t="str">
        <f>_xlfn.IFNA(VLOOKUP(Tabla3[[#This Row],[DISPOSITIVO]],DISPOSITIVO[],2,0),"")</f>
        <v>5051_</v>
      </c>
      <c r="S276" s="13" t="str">
        <f>_xlfn.IFNA(VLOOKUP(Tabla3[[#This Row],[PROTECCION SECUNDARIA]],PROTECCION_SECUNDARIA[],2,0),"")</f>
        <v/>
      </c>
      <c r="T276" s="13" t="str">
        <f>_xlfn.IFNA(VLOOKUP(Tabla3[[#This Row],[Que]],QUE[#All],2,0),"")</f>
        <v>A</v>
      </c>
      <c r="U276" s="13" t="str">
        <f>_xlfn.IFNA(VLOOKUP(Tabla3[[#This Row],[Señal]],SEÑAL[#All],2,0),"")</f>
        <v>_S</v>
      </c>
      <c r="V276" s="13" t="str">
        <f>_xlfn.IFNA(VLOOKUP(Tabla3[[#This Row],[NUMERO]],SEÑAL[#All],2,0),"")</f>
        <v/>
      </c>
    </row>
    <row r="277" spans="1:22" x14ac:dyDescent="0.25">
      <c r="A277" s="26" t="s">
        <v>1074</v>
      </c>
      <c r="B277" s="2" t="s">
        <v>8</v>
      </c>
      <c r="C277" s="2" t="s">
        <v>89</v>
      </c>
      <c r="D277" s="2" t="s">
        <v>109</v>
      </c>
      <c r="E277" s="2" t="s">
        <v>1381</v>
      </c>
      <c r="F277" s="2" t="s">
        <v>14</v>
      </c>
      <c r="G277" s="2" t="s">
        <v>349</v>
      </c>
      <c r="I277" s="2" t="s">
        <v>395</v>
      </c>
      <c r="J277" t="s">
        <v>647</v>
      </c>
      <c r="K277"/>
      <c r="L27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ETVMN.TR3.35051_A_T</v>
      </c>
      <c r="N277" s="13" t="str">
        <f>VLOOKUP(Tabla3[[#This Row],[Tipo]],TIPO[#All],2,0)</f>
        <v>ET</v>
      </c>
      <c r="O277" s="13" t="str">
        <f>VLOOKUP(Tabla3[[#This Row],[Lugar]],LUGAR[#All],2,0)</f>
        <v>VMN</v>
      </c>
      <c r="P277" s="13" t="str">
        <f>Tabla3[[#This Row],[SIGLAS]]</f>
        <v>TR3</v>
      </c>
      <c r="Q277" s="13">
        <f>_xlfn.IFNA(VLOOKUP(Tabla3[[#This Row],[Nivel de tension]],NIVEL[#All],2,0),"")</f>
        <v>3</v>
      </c>
      <c r="R277" s="13" t="str">
        <f>_xlfn.IFNA(VLOOKUP(Tabla3[[#This Row],[DISPOSITIVO]],DISPOSITIVO[],2,0),"")</f>
        <v>5051_</v>
      </c>
      <c r="S277" s="13" t="str">
        <f>_xlfn.IFNA(VLOOKUP(Tabla3[[#This Row],[PROTECCION SECUNDARIA]],PROTECCION_SECUNDARIA[],2,0),"")</f>
        <v/>
      </c>
      <c r="T277" s="13" t="str">
        <f>_xlfn.IFNA(VLOOKUP(Tabla3[[#This Row],[Que]],QUE[#All],2,0),"")</f>
        <v>A</v>
      </c>
      <c r="U277" s="13" t="str">
        <f>_xlfn.IFNA(VLOOKUP(Tabla3[[#This Row],[Señal]],SEÑAL[#All],2,0),"")</f>
        <v>_T</v>
      </c>
      <c r="V277" s="13" t="str">
        <f>_xlfn.IFNA(VLOOKUP(Tabla3[[#This Row],[NUMERO]],SEÑAL[#All],2,0),"")</f>
        <v/>
      </c>
    </row>
    <row r="278" spans="1:22" x14ac:dyDescent="0.25">
      <c r="A278" s="26" t="s">
        <v>1075</v>
      </c>
      <c r="B278" s="2" t="s">
        <v>8</v>
      </c>
      <c r="C278" s="2" t="s">
        <v>89</v>
      </c>
      <c r="D278" s="2" t="s">
        <v>109</v>
      </c>
      <c r="E278" s="2" t="s">
        <v>1381</v>
      </c>
      <c r="F278" s="2" t="s">
        <v>14</v>
      </c>
      <c r="G278" s="2" t="s">
        <v>349</v>
      </c>
      <c r="I278" s="2" t="s">
        <v>395</v>
      </c>
      <c r="J278" t="s">
        <v>599</v>
      </c>
      <c r="K278"/>
      <c r="L27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ETVMN.TR3.35051_A_N</v>
      </c>
      <c r="N278" s="13" t="str">
        <f>VLOOKUP(Tabla3[[#This Row],[Tipo]],TIPO[#All],2,0)</f>
        <v>ET</v>
      </c>
      <c r="O278" s="13" t="str">
        <f>VLOOKUP(Tabla3[[#This Row],[Lugar]],LUGAR[#All],2,0)</f>
        <v>VMN</v>
      </c>
      <c r="P278" s="13" t="str">
        <f>Tabla3[[#This Row],[SIGLAS]]</f>
        <v>TR3</v>
      </c>
      <c r="Q278" s="13">
        <f>_xlfn.IFNA(VLOOKUP(Tabla3[[#This Row],[Nivel de tension]],NIVEL[#All],2,0),"")</f>
        <v>3</v>
      </c>
      <c r="R278" s="13" t="str">
        <f>_xlfn.IFNA(VLOOKUP(Tabla3[[#This Row],[DISPOSITIVO]],DISPOSITIVO[],2,0),"")</f>
        <v>5051_</v>
      </c>
      <c r="S278" s="13" t="str">
        <f>_xlfn.IFNA(VLOOKUP(Tabla3[[#This Row],[PROTECCION SECUNDARIA]],PROTECCION_SECUNDARIA[],2,0),"")</f>
        <v/>
      </c>
      <c r="T278" s="13" t="str">
        <f>_xlfn.IFNA(VLOOKUP(Tabla3[[#This Row],[Que]],QUE[#All],2,0),"")</f>
        <v>A</v>
      </c>
      <c r="U278" s="13" t="str">
        <f>_xlfn.IFNA(VLOOKUP(Tabla3[[#This Row],[Señal]],SEÑAL[#All],2,0),"")</f>
        <v>_N</v>
      </c>
      <c r="V278" s="13" t="str">
        <f>_xlfn.IFNA(VLOOKUP(Tabla3[[#This Row],[NUMERO]],SEÑAL[#All],2,0),"")</f>
        <v/>
      </c>
    </row>
    <row r="279" spans="1:22" x14ac:dyDescent="0.25">
      <c r="A279" s="26" t="s">
        <v>1076</v>
      </c>
      <c r="B279" s="2" t="s">
        <v>8</v>
      </c>
      <c r="C279" s="2" t="s">
        <v>89</v>
      </c>
      <c r="D279" s="2" t="s">
        <v>109</v>
      </c>
      <c r="E279" s="2" t="s">
        <v>1381</v>
      </c>
      <c r="F279" s="2" t="s">
        <v>14</v>
      </c>
      <c r="G279" s="2" t="s">
        <v>349</v>
      </c>
      <c r="I279" s="2" t="s">
        <v>455</v>
      </c>
      <c r="J279" t="s">
        <v>611</v>
      </c>
      <c r="K279"/>
      <c r="L27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ETVMN.TR3.35051_KV_R</v>
      </c>
      <c r="N279" s="13" t="str">
        <f>VLOOKUP(Tabla3[[#This Row],[Tipo]],TIPO[#All],2,0)</f>
        <v>ET</v>
      </c>
      <c r="O279" s="13" t="str">
        <f>VLOOKUP(Tabla3[[#This Row],[Lugar]],LUGAR[#All],2,0)</f>
        <v>VMN</v>
      </c>
      <c r="P279" s="13" t="str">
        <f>Tabla3[[#This Row],[SIGLAS]]</f>
        <v>TR3</v>
      </c>
      <c r="Q279" s="13">
        <f>_xlfn.IFNA(VLOOKUP(Tabla3[[#This Row],[Nivel de tension]],NIVEL[#All],2,0),"")</f>
        <v>3</v>
      </c>
      <c r="R279" s="13" t="str">
        <f>_xlfn.IFNA(VLOOKUP(Tabla3[[#This Row],[DISPOSITIVO]],DISPOSITIVO[],2,0),"")</f>
        <v>5051_</v>
      </c>
      <c r="S279" s="13" t="str">
        <f>_xlfn.IFNA(VLOOKUP(Tabla3[[#This Row],[PROTECCION SECUNDARIA]],PROTECCION_SECUNDARIA[],2,0),"")</f>
        <v/>
      </c>
      <c r="T279" s="13" t="str">
        <f>_xlfn.IFNA(VLOOKUP(Tabla3[[#This Row],[Que]],QUE[#All],2,0),"")</f>
        <v>KV</v>
      </c>
      <c r="U279" s="13" t="str">
        <f>_xlfn.IFNA(VLOOKUP(Tabla3[[#This Row],[Señal]],SEÑAL[#All],2,0),"")</f>
        <v>_R</v>
      </c>
      <c r="V279" s="13" t="str">
        <f>_xlfn.IFNA(VLOOKUP(Tabla3[[#This Row],[NUMERO]],SEÑAL[#All],2,0),"")</f>
        <v/>
      </c>
    </row>
    <row r="280" spans="1:22" x14ac:dyDescent="0.25">
      <c r="A280" s="26" t="s">
        <v>1077</v>
      </c>
      <c r="B280" s="2" t="s">
        <v>8</v>
      </c>
      <c r="C280" s="2" t="s">
        <v>89</v>
      </c>
      <c r="D280" s="2" t="s">
        <v>109</v>
      </c>
      <c r="E280" s="2" t="s">
        <v>1381</v>
      </c>
      <c r="F280" s="2" t="s">
        <v>14</v>
      </c>
      <c r="G280" s="2" t="s">
        <v>349</v>
      </c>
      <c r="I280" s="2" t="s">
        <v>455</v>
      </c>
      <c r="J280" t="s">
        <v>634</v>
      </c>
      <c r="K280"/>
      <c r="L28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ETVMN.TR3.35051_KV_S</v>
      </c>
      <c r="N280" s="13" t="str">
        <f>VLOOKUP(Tabla3[[#This Row],[Tipo]],TIPO[#All],2,0)</f>
        <v>ET</v>
      </c>
      <c r="O280" s="13" t="str">
        <f>VLOOKUP(Tabla3[[#This Row],[Lugar]],LUGAR[#All],2,0)</f>
        <v>VMN</v>
      </c>
      <c r="P280" s="13" t="str">
        <f>Tabla3[[#This Row],[SIGLAS]]</f>
        <v>TR3</v>
      </c>
      <c r="Q280" s="13">
        <f>_xlfn.IFNA(VLOOKUP(Tabla3[[#This Row],[Nivel de tension]],NIVEL[#All],2,0),"")</f>
        <v>3</v>
      </c>
      <c r="R280" s="13" t="str">
        <f>_xlfn.IFNA(VLOOKUP(Tabla3[[#This Row],[DISPOSITIVO]],DISPOSITIVO[],2,0),"")</f>
        <v>5051_</v>
      </c>
      <c r="S280" s="13" t="str">
        <f>_xlfn.IFNA(VLOOKUP(Tabla3[[#This Row],[PROTECCION SECUNDARIA]],PROTECCION_SECUNDARIA[],2,0),"")</f>
        <v/>
      </c>
      <c r="T280" s="13" t="str">
        <f>_xlfn.IFNA(VLOOKUP(Tabla3[[#This Row],[Que]],QUE[#All],2,0),"")</f>
        <v>KV</v>
      </c>
      <c r="U280" s="13" t="str">
        <f>_xlfn.IFNA(VLOOKUP(Tabla3[[#This Row],[Señal]],SEÑAL[#All],2,0),"")</f>
        <v>_S</v>
      </c>
      <c r="V280" s="13" t="str">
        <f>_xlfn.IFNA(VLOOKUP(Tabla3[[#This Row],[NUMERO]],SEÑAL[#All],2,0),"")</f>
        <v/>
      </c>
    </row>
    <row r="281" spans="1:22" x14ac:dyDescent="0.25">
      <c r="A281" s="26" t="s">
        <v>1078</v>
      </c>
      <c r="B281" s="2" t="s">
        <v>8</v>
      </c>
      <c r="C281" s="2" t="s">
        <v>89</v>
      </c>
      <c r="D281" s="2" t="s">
        <v>109</v>
      </c>
      <c r="E281" s="2" t="s">
        <v>1381</v>
      </c>
      <c r="F281" s="2" t="s">
        <v>14</v>
      </c>
      <c r="G281" s="2" t="s">
        <v>349</v>
      </c>
      <c r="I281" s="2" t="s">
        <v>455</v>
      </c>
      <c r="J281" t="s">
        <v>647</v>
      </c>
      <c r="K281"/>
      <c r="L28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ETVMN.TR3.35051_KV_T</v>
      </c>
      <c r="N281" s="13" t="str">
        <f>VLOOKUP(Tabla3[[#This Row],[Tipo]],TIPO[#All],2,0)</f>
        <v>ET</v>
      </c>
      <c r="O281" s="13" t="str">
        <f>VLOOKUP(Tabla3[[#This Row],[Lugar]],LUGAR[#All],2,0)</f>
        <v>VMN</v>
      </c>
      <c r="P281" s="13" t="str">
        <f>Tabla3[[#This Row],[SIGLAS]]</f>
        <v>TR3</v>
      </c>
      <c r="Q281" s="13">
        <f>_xlfn.IFNA(VLOOKUP(Tabla3[[#This Row],[Nivel de tension]],NIVEL[#All],2,0),"")</f>
        <v>3</v>
      </c>
      <c r="R281" s="13" t="str">
        <f>_xlfn.IFNA(VLOOKUP(Tabla3[[#This Row],[DISPOSITIVO]],DISPOSITIVO[],2,0),"")</f>
        <v>5051_</v>
      </c>
      <c r="S281" s="13" t="str">
        <f>_xlfn.IFNA(VLOOKUP(Tabla3[[#This Row],[PROTECCION SECUNDARIA]],PROTECCION_SECUNDARIA[],2,0),"")</f>
        <v/>
      </c>
      <c r="T281" s="13" t="str">
        <f>_xlfn.IFNA(VLOOKUP(Tabla3[[#This Row],[Que]],QUE[#All],2,0),"")</f>
        <v>KV</v>
      </c>
      <c r="U281" s="13" t="str">
        <f>_xlfn.IFNA(VLOOKUP(Tabla3[[#This Row],[Señal]],SEÑAL[#All],2,0),"")</f>
        <v>_T</v>
      </c>
      <c r="V281" s="13" t="str">
        <f>_xlfn.IFNA(VLOOKUP(Tabla3[[#This Row],[NUMERO]],SEÑAL[#All],2,0),"")</f>
        <v/>
      </c>
    </row>
    <row r="282" spans="1:22" x14ac:dyDescent="0.25">
      <c r="A282" s="26" t="s">
        <v>1079</v>
      </c>
      <c r="B282" s="2" t="s">
        <v>8</v>
      </c>
      <c r="C282" s="2" t="s">
        <v>89</v>
      </c>
      <c r="D282" s="2" t="s">
        <v>109</v>
      </c>
      <c r="E282" s="2" t="s">
        <v>1381</v>
      </c>
      <c r="F282" s="2" t="s">
        <v>14</v>
      </c>
      <c r="G282" s="2" t="s">
        <v>349</v>
      </c>
      <c r="I282" s="2" t="s">
        <v>462</v>
      </c>
      <c r="J282"/>
      <c r="K282"/>
      <c r="L28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ETVMN.TR3.35051_KW</v>
      </c>
      <c r="N282" s="13" t="str">
        <f>VLOOKUP(Tabla3[[#This Row],[Tipo]],TIPO[#All],2,0)</f>
        <v>ET</v>
      </c>
      <c r="O282" s="13" t="str">
        <f>VLOOKUP(Tabla3[[#This Row],[Lugar]],LUGAR[#All],2,0)</f>
        <v>VMN</v>
      </c>
      <c r="P282" s="13" t="str">
        <f>Tabla3[[#This Row],[SIGLAS]]</f>
        <v>TR3</v>
      </c>
      <c r="Q282" s="13">
        <f>_xlfn.IFNA(VLOOKUP(Tabla3[[#This Row],[Nivel de tension]],NIVEL[#All],2,0),"")</f>
        <v>3</v>
      </c>
      <c r="R282" s="13" t="str">
        <f>_xlfn.IFNA(VLOOKUP(Tabla3[[#This Row],[DISPOSITIVO]],DISPOSITIVO[],2,0),"")</f>
        <v>5051_</v>
      </c>
      <c r="S282" s="13" t="str">
        <f>_xlfn.IFNA(VLOOKUP(Tabla3[[#This Row],[PROTECCION SECUNDARIA]],PROTECCION_SECUNDARIA[],2,0),"")</f>
        <v/>
      </c>
      <c r="T282" s="13" t="str">
        <f>_xlfn.IFNA(VLOOKUP(Tabla3[[#This Row],[Que]],QUE[#All],2,0),"")</f>
        <v>KW</v>
      </c>
      <c r="U282" s="13" t="str">
        <f>_xlfn.IFNA(VLOOKUP(Tabla3[[#This Row],[Señal]],SEÑAL[#All],2,0),"")</f>
        <v/>
      </c>
      <c r="V282" s="13" t="str">
        <f>_xlfn.IFNA(VLOOKUP(Tabla3[[#This Row],[NUMERO]],SEÑAL[#All],2,0),"")</f>
        <v/>
      </c>
    </row>
    <row r="283" spans="1:22" x14ac:dyDescent="0.25">
      <c r="A283" s="26" t="s">
        <v>1080</v>
      </c>
      <c r="B283" s="2" t="s">
        <v>8</v>
      </c>
      <c r="C283" s="2" t="s">
        <v>89</v>
      </c>
      <c r="D283" s="2" t="s">
        <v>109</v>
      </c>
      <c r="E283" s="2" t="s">
        <v>1381</v>
      </c>
      <c r="F283" s="2" t="s">
        <v>14</v>
      </c>
      <c r="G283" s="2" t="s">
        <v>349</v>
      </c>
      <c r="I283" s="2" t="s">
        <v>457</v>
      </c>
      <c r="J283"/>
      <c r="K283"/>
      <c r="L28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ETVMN.TR3.35051_KVAR</v>
      </c>
      <c r="N283" s="13" t="str">
        <f>VLOOKUP(Tabla3[[#This Row],[Tipo]],TIPO[#All],2,0)</f>
        <v>ET</v>
      </c>
      <c r="O283" s="13" t="str">
        <f>VLOOKUP(Tabla3[[#This Row],[Lugar]],LUGAR[#All],2,0)</f>
        <v>VMN</v>
      </c>
      <c r="P283" s="13" t="str">
        <f>Tabla3[[#This Row],[SIGLAS]]</f>
        <v>TR3</v>
      </c>
      <c r="Q283" s="13">
        <f>_xlfn.IFNA(VLOOKUP(Tabla3[[#This Row],[Nivel de tension]],NIVEL[#All],2,0),"")</f>
        <v>3</v>
      </c>
      <c r="R283" s="13" t="str">
        <f>_xlfn.IFNA(VLOOKUP(Tabla3[[#This Row],[DISPOSITIVO]],DISPOSITIVO[],2,0),"")</f>
        <v>5051_</v>
      </c>
      <c r="S283" s="13" t="str">
        <f>_xlfn.IFNA(VLOOKUP(Tabla3[[#This Row],[PROTECCION SECUNDARIA]],PROTECCION_SECUNDARIA[],2,0),"")</f>
        <v/>
      </c>
      <c r="T283" s="13" t="str">
        <f>_xlfn.IFNA(VLOOKUP(Tabla3[[#This Row],[Que]],QUE[#All],2,0),"")</f>
        <v>KVAR</v>
      </c>
      <c r="U283" s="13" t="str">
        <f>_xlfn.IFNA(VLOOKUP(Tabla3[[#This Row],[Señal]],SEÑAL[#All],2,0),"")</f>
        <v/>
      </c>
      <c r="V283" s="13" t="str">
        <f>_xlfn.IFNA(VLOOKUP(Tabla3[[#This Row],[NUMERO]],SEÑAL[#All],2,0),"")</f>
        <v/>
      </c>
    </row>
    <row r="284" spans="1:22" x14ac:dyDescent="0.25">
      <c r="A284" s="26" t="s">
        <v>1081</v>
      </c>
      <c r="B284" s="2" t="s">
        <v>8</v>
      </c>
      <c r="C284" s="2" t="s">
        <v>89</v>
      </c>
      <c r="D284" s="2" t="s">
        <v>109</v>
      </c>
      <c r="E284" s="2" t="s">
        <v>1381</v>
      </c>
      <c r="F284" s="2" t="s">
        <v>14</v>
      </c>
      <c r="G284" s="2" t="s">
        <v>349</v>
      </c>
      <c r="I284" s="2" t="s">
        <v>456</v>
      </c>
      <c r="J284"/>
      <c r="K284"/>
      <c r="L28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ETVMN.TR3.35051_KVA</v>
      </c>
      <c r="N284" s="13" t="str">
        <f>VLOOKUP(Tabla3[[#This Row],[Tipo]],TIPO[#All],2,0)</f>
        <v>ET</v>
      </c>
      <c r="O284" s="13" t="str">
        <f>VLOOKUP(Tabla3[[#This Row],[Lugar]],LUGAR[#All],2,0)</f>
        <v>VMN</v>
      </c>
      <c r="P284" s="13" t="str">
        <f>Tabla3[[#This Row],[SIGLAS]]</f>
        <v>TR3</v>
      </c>
      <c r="Q284" s="13">
        <f>_xlfn.IFNA(VLOOKUP(Tabla3[[#This Row],[Nivel de tension]],NIVEL[#All],2,0),"")</f>
        <v>3</v>
      </c>
      <c r="R284" s="13" t="str">
        <f>_xlfn.IFNA(VLOOKUP(Tabla3[[#This Row],[DISPOSITIVO]],DISPOSITIVO[],2,0),"")</f>
        <v>5051_</v>
      </c>
      <c r="S284" s="13" t="str">
        <f>_xlfn.IFNA(VLOOKUP(Tabla3[[#This Row],[PROTECCION SECUNDARIA]],PROTECCION_SECUNDARIA[],2,0),"")</f>
        <v/>
      </c>
      <c r="T284" s="13" t="str">
        <f>_xlfn.IFNA(VLOOKUP(Tabla3[[#This Row],[Que]],QUE[#All],2,0),"")</f>
        <v>KVA</v>
      </c>
      <c r="U284" s="13" t="str">
        <f>_xlfn.IFNA(VLOOKUP(Tabla3[[#This Row],[Señal]],SEÑAL[#All],2,0),"")</f>
        <v/>
      </c>
      <c r="V284" s="13" t="str">
        <f>_xlfn.IFNA(VLOOKUP(Tabla3[[#This Row],[NUMERO]],SEÑAL[#All],2,0),"")</f>
        <v/>
      </c>
    </row>
    <row r="285" spans="1:22" x14ac:dyDescent="0.25">
      <c r="A285" s="26" t="s">
        <v>1034</v>
      </c>
      <c r="B285" s="2" t="s">
        <v>8</v>
      </c>
      <c r="C285" s="2" t="s">
        <v>89</v>
      </c>
      <c r="D285" s="2" t="s">
        <v>109</v>
      </c>
      <c r="E285" s="2" t="s">
        <v>1381</v>
      </c>
      <c r="G285" s="2" t="s">
        <v>284</v>
      </c>
      <c r="I285" s="2" t="s">
        <v>395</v>
      </c>
      <c r="J285" t="s">
        <v>611</v>
      </c>
      <c r="K285"/>
      <c r="L28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ETVMN.TR3.MED_3A_R</v>
      </c>
      <c r="N285" s="13" t="str">
        <f>VLOOKUP(Tabla3[[#This Row],[Tipo]],TIPO[#All],2,0)</f>
        <v>ET</v>
      </c>
      <c r="O285" s="13" t="str">
        <f>VLOOKUP(Tabla3[[#This Row],[Lugar]],LUGAR[#All],2,0)</f>
        <v>VMN</v>
      </c>
      <c r="P285" s="13" t="str">
        <f>Tabla3[[#This Row],[SIGLAS]]</f>
        <v>TR3</v>
      </c>
      <c r="Q285" s="13" t="str">
        <f>_xlfn.IFNA(VLOOKUP(Tabla3[[#This Row],[Nivel de tension]],NIVEL[#All],2,0),"")</f>
        <v/>
      </c>
      <c r="R285" s="13" t="str">
        <f>_xlfn.IFNA(VLOOKUP(Tabla3[[#This Row],[DISPOSITIVO]],DISPOSITIVO[],2,0),"")</f>
        <v>MED_3</v>
      </c>
      <c r="S285" s="13" t="str">
        <f>_xlfn.IFNA(VLOOKUP(Tabla3[[#This Row],[PROTECCION SECUNDARIA]],PROTECCION_SECUNDARIA[],2,0),"")</f>
        <v/>
      </c>
      <c r="T285" s="13" t="str">
        <f>_xlfn.IFNA(VLOOKUP(Tabla3[[#This Row],[Que]],QUE[#All],2,0),"")</f>
        <v>A</v>
      </c>
      <c r="U285" s="13" t="str">
        <f>_xlfn.IFNA(VLOOKUP(Tabla3[[#This Row],[Señal]],SEÑAL[#All],2,0),"")</f>
        <v>_R</v>
      </c>
      <c r="V285" s="13" t="str">
        <f>_xlfn.IFNA(VLOOKUP(Tabla3[[#This Row],[NUMERO]],SEÑAL[#All],2,0),"")</f>
        <v/>
      </c>
    </row>
    <row r="286" spans="1:22" x14ac:dyDescent="0.25">
      <c r="A286" s="26" t="s">
        <v>1035</v>
      </c>
      <c r="B286" s="2" t="s">
        <v>8</v>
      </c>
      <c r="C286" s="2" t="s">
        <v>89</v>
      </c>
      <c r="D286" s="2" t="s">
        <v>109</v>
      </c>
      <c r="E286" s="2" t="s">
        <v>1381</v>
      </c>
      <c r="G286" s="2" t="s">
        <v>284</v>
      </c>
      <c r="I286" s="2" t="s">
        <v>395</v>
      </c>
      <c r="J286" t="s">
        <v>634</v>
      </c>
      <c r="K286"/>
      <c r="L28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ETVMN.TR3.MED_3A_S</v>
      </c>
      <c r="N286" s="13" t="str">
        <f>VLOOKUP(Tabla3[[#This Row],[Tipo]],TIPO[#All],2,0)</f>
        <v>ET</v>
      </c>
      <c r="O286" s="13" t="str">
        <f>VLOOKUP(Tabla3[[#This Row],[Lugar]],LUGAR[#All],2,0)</f>
        <v>VMN</v>
      </c>
      <c r="P286" s="13" t="str">
        <f>Tabla3[[#This Row],[SIGLAS]]</f>
        <v>TR3</v>
      </c>
      <c r="Q286" s="13" t="str">
        <f>_xlfn.IFNA(VLOOKUP(Tabla3[[#This Row],[Nivel de tension]],NIVEL[#All],2,0),"")</f>
        <v/>
      </c>
      <c r="R286" s="13" t="str">
        <f>_xlfn.IFNA(VLOOKUP(Tabla3[[#This Row],[DISPOSITIVO]],DISPOSITIVO[],2,0),"")</f>
        <v>MED_3</v>
      </c>
      <c r="S286" s="13" t="str">
        <f>_xlfn.IFNA(VLOOKUP(Tabla3[[#This Row],[PROTECCION SECUNDARIA]],PROTECCION_SECUNDARIA[],2,0),"")</f>
        <v/>
      </c>
      <c r="T286" s="13" t="str">
        <f>_xlfn.IFNA(VLOOKUP(Tabla3[[#This Row],[Que]],QUE[#All],2,0),"")</f>
        <v>A</v>
      </c>
      <c r="U286" s="13" t="str">
        <f>_xlfn.IFNA(VLOOKUP(Tabla3[[#This Row],[Señal]],SEÑAL[#All],2,0),"")</f>
        <v>_S</v>
      </c>
      <c r="V286" s="13" t="str">
        <f>_xlfn.IFNA(VLOOKUP(Tabla3[[#This Row],[NUMERO]],SEÑAL[#All],2,0),"")</f>
        <v/>
      </c>
    </row>
    <row r="287" spans="1:22" x14ac:dyDescent="0.25">
      <c r="A287" s="26" t="s">
        <v>1036</v>
      </c>
      <c r="B287" s="2" t="s">
        <v>8</v>
      </c>
      <c r="C287" s="2" t="s">
        <v>89</v>
      </c>
      <c r="D287" s="2" t="s">
        <v>109</v>
      </c>
      <c r="E287" s="2" t="s">
        <v>1381</v>
      </c>
      <c r="G287" s="2" t="s">
        <v>284</v>
      </c>
      <c r="I287" s="2" t="s">
        <v>395</v>
      </c>
      <c r="J287" t="s">
        <v>647</v>
      </c>
      <c r="K287"/>
      <c r="L28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ETVMN.TR3.MED_3A_T</v>
      </c>
      <c r="N287" s="13" t="str">
        <f>VLOOKUP(Tabla3[[#This Row],[Tipo]],TIPO[#All],2,0)</f>
        <v>ET</v>
      </c>
      <c r="O287" s="13" t="str">
        <f>VLOOKUP(Tabla3[[#This Row],[Lugar]],LUGAR[#All],2,0)</f>
        <v>VMN</v>
      </c>
      <c r="P287" s="13" t="str">
        <f>Tabla3[[#This Row],[SIGLAS]]</f>
        <v>TR3</v>
      </c>
      <c r="Q287" s="13" t="str">
        <f>_xlfn.IFNA(VLOOKUP(Tabla3[[#This Row],[Nivel de tension]],NIVEL[#All],2,0),"")</f>
        <v/>
      </c>
      <c r="R287" s="13" t="str">
        <f>_xlfn.IFNA(VLOOKUP(Tabla3[[#This Row],[DISPOSITIVO]],DISPOSITIVO[],2,0),"")</f>
        <v>MED_3</v>
      </c>
      <c r="S287" s="13" t="str">
        <f>_xlfn.IFNA(VLOOKUP(Tabla3[[#This Row],[PROTECCION SECUNDARIA]],PROTECCION_SECUNDARIA[],2,0),"")</f>
        <v/>
      </c>
      <c r="T287" s="13" t="str">
        <f>_xlfn.IFNA(VLOOKUP(Tabla3[[#This Row],[Que]],QUE[#All],2,0),"")</f>
        <v>A</v>
      </c>
      <c r="U287" s="13" t="str">
        <f>_xlfn.IFNA(VLOOKUP(Tabla3[[#This Row],[Señal]],SEÑAL[#All],2,0),"")</f>
        <v>_T</v>
      </c>
      <c r="V287" s="13" t="str">
        <f>_xlfn.IFNA(VLOOKUP(Tabla3[[#This Row],[NUMERO]],SEÑAL[#All],2,0),"")</f>
        <v/>
      </c>
    </row>
    <row r="288" spans="1:22" x14ac:dyDescent="0.25">
      <c r="A288" s="26" t="s">
        <v>1082</v>
      </c>
      <c r="B288" s="2" t="s">
        <v>8</v>
      </c>
      <c r="C288" s="2" t="s">
        <v>89</v>
      </c>
      <c r="D288" s="2" t="s">
        <v>109</v>
      </c>
      <c r="E288" s="2" t="s">
        <v>1381</v>
      </c>
      <c r="G288" s="2" t="s">
        <v>284</v>
      </c>
      <c r="I288" s="2" t="s">
        <v>395</v>
      </c>
      <c r="J288" t="s">
        <v>599</v>
      </c>
      <c r="K288"/>
      <c r="L28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ETVMN.TR3.MED_3A_N</v>
      </c>
      <c r="N288" s="13" t="str">
        <f>VLOOKUP(Tabla3[[#This Row],[Tipo]],TIPO[#All],2,0)</f>
        <v>ET</v>
      </c>
      <c r="O288" s="13" t="str">
        <f>VLOOKUP(Tabla3[[#This Row],[Lugar]],LUGAR[#All],2,0)</f>
        <v>VMN</v>
      </c>
      <c r="P288" s="13" t="str">
        <f>Tabla3[[#This Row],[SIGLAS]]</f>
        <v>TR3</v>
      </c>
      <c r="Q288" s="13" t="str">
        <f>_xlfn.IFNA(VLOOKUP(Tabla3[[#This Row],[Nivel de tension]],NIVEL[#All],2,0),"")</f>
        <v/>
      </c>
      <c r="R288" s="13" t="str">
        <f>_xlfn.IFNA(VLOOKUP(Tabla3[[#This Row],[DISPOSITIVO]],DISPOSITIVO[],2,0),"")</f>
        <v>MED_3</v>
      </c>
      <c r="S288" s="13" t="str">
        <f>_xlfn.IFNA(VLOOKUP(Tabla3[[#This Row],[PROTECCION SECUNDARIA]],PROTECCION_SECUNDARIA[],2,0),"")</f>
        <v/>
      </c>
      <c r="T288" s="13" t="str">
        <f>_xlfn.IFNA(VLOOKUP(Tabla3[[#This Row],[Que]],QUE[#All],2,0),"")</f>
        <v>A</v>
      </c>
      <c r="U288" s="13" t="str">
        <f>_xlfn.IFNA(VLOOKUP(Tabla3[[#This Row],[Señal]],SEÑAL[#All],2,0),"")</f>
        <v>_N</v>
      </c>
      <c r="V288" s="13" t="str">
        <f>_xlfn.IFNA(VLOOKUP(Tabla3[[#This Row],[NUMERO]],SEÑAL[#All],2,0),"")</f>
        <v/>
      </c>
    </row>
    <row r="289" spans="1:22" x14ac:dyDescent="0.25">
      <c r="A289" s="26" t="s">
        <v>1083</v>
      </c>
      <c r="B289" s="2" t="s">
        <v>8</v>
      </c>
      <c r="C289" s="2" t="s">
        <v>89</v>
      </c>
      <c r="D289" s="2" t="s">
        <v>109</v>
      </c>
      <c r="E289" s="2" t="s">
        <v>1381</v>
      </c>
      <c r="G289" s="2" t="s">
        <v>284</v>
      </c>
      <c r="I289" s="2" t="s">
        <v>455</v>
      </c>
      <c r="J289" t="s">
        <v>611</v>
      </c>
      <c r="K289"/>
      <c r="L28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ETVMN.TR3.MED_3KV_R</v>
      </c>
      <c r="N289" s="13" t="str">
        <f>VLOOKUP(Tabla3[[#This Row],[Tipo]],TIPO[#All],2,0)</f>
        <v>ET</v>
      </c>
      <c r="O289" s="13" t="str">
        <f>VLOOKUP(Tabla3[[#This Row],[Lugar]],LUGAR[#All],2,0)</f>
        <v>VMN</v>
      </c>
      <c r="P289" s="13" t="str">
        <f>Tabla3[[#This Row],[SIGLAS]]</f>
        <v>TR3</v>
      </c>
      <c r="Q289" s="13" t="str">
        <f>_xlfn.IFNA(VLOOKUP(Tabla3[[#This Row],[Nivel de tension]],NIVEL[#All],2,0),"")</f>
        <v/>
      </c>
      <c r="R289" s="13" t="str">
        <f>_xlfn.IFNA(VLOOKUP(Tabla3[[#This Row],[DISPOSITIVO]],DISPOSITIVO[],2,0),"")</f>
        <v>MED_3</v>
      </c>
      <c r="S289" s="13" t="str">
        <f>_xlfn.IFNA(VLOOKUP(Tabla3[[#This Row],[PROTECCION SECUNDARIA]],PROTECCION_SECUNDARIA[],2,0),"")</f>
        <v/>
      </c>
      <c r="T289" s="13" t="str">
        <f>_xlfn.IFNA(VLOOKUP(Tabla3[[#This Row],[Que]],QUE[#All],2,0),"")</f>
        <v>KV</v>
      </c>
      <c r="U289" s="13" t="str">
        <f>_xlfn.IFNA(VLOOKUP(Tabla3[[#This Row],[Señal]],SEÑAL[#All],2,0),"")</f>
        <v>_R</v>
      </c>
      <c r="V289" s="13" t="str">
        <f>_xlfn.IFNA(VLOOKUP(Tabla3[[#This Row],[NUMERO]],SEÑAL[#All],2,0),"")</f>
        <v/>
      </c>
    </row>
    <row r="290" spans="1:22" x14ac:dyDescent="0.25">
      <c r="A290" s="26" t="s">
        <v>1084</v>
      </c>
      <c r="B290" s="2" t="s">
        <v>8</v>
      </c>
      <c r="C290" s="2" t="s">
        <v>89</v>
      </c>
      <c r="D290" s="2" t="s">
        <v>109</v>
      </c>
      <c r="E290" s="2" t="s">
        <v>1381</v>
      </c>
      <c r="G290" s="2" t="s">
        <v>284</v>
      </c>
      <c r="I290" s="2" t="s">
        <v>455</v>
      </c>
      <c r="J290" t="s">
        <v>634</v>
      </c>
      <c r="K290"/>
      <c r="L29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ETVMN.TR3.MED_3KV_S</v>
      </c>
      <c r="N290" s="13" t="str">
        <f>VLOOKUP(Tabla3[[#This Row],[Tipo]],TIPO[#All],2,0)</f>
        <v>ET</v>
      </c>
      <c r="O290" s="13" t="str">
        <f>VLOOKUP(Tabla3[[#This Row],[Lugar]],LUGAR[#All],2,0)</f>
        <v>VMN</v>
      </c>
      <c r="P290" s="13" t="str">
        <f>Tabla3[[#This Row],[SIGLAS]]</f>
        <v>TR3</v>
      </c>
      <c r="Q290" s="13" t="str">
        <f>_xlfn.IFNA(VLOOKUP(Tabla3[[#This Row],[Nivel de tension]],NIVEL[#All],2,0),"")</f>
        <v/>
      </c>
      <c r="R290" s="13" t="str">
        <f>_xlfn.IFNA(VLOOKUP(Tabla3[[#This Row],[DISPOSITIVO]],DISPOSITIVO[],2,0),"")</f>
        <v>MED_3</v>
      </c>
      <c r="S290" s="13" t="str">
        <f>_xlfn.IFNA(VLOOKUP(Tabla3[[#This Row],[PROTECCION SECUNDARIA]],PROTECCION_SECUNDARIA[],2,0),"")</f>
        <v/>
      </c>
      <c r="T290" s="13" t="str">
        <f>_xlfn.IFNA(VLOOKUP(Tabla3[[#This Row],[Que]],QUE[#All],2,0),"")</f>
        <v>KV</v>
      </c>
      <c r="U290" s="13" t="str">
        <f>_xlfn.IFNA(VLOOKUP(Tabla3[[#This Row],[Señal]],SEÑAL[#All],2,0),"")</f>
        <v>_S</v>
      </c>
      <c r="V290" s="13" t="str">
        <f>_xlfn.IFNA(VLOOKUP(Tabla3[[#This Row],[NUMERO]],SEÑAL[#All],2,0),"")</f>
        <v/>
      </c>
    </row>
    <row r="291" spans="1:22" x14ac:dyDescent="0.25">
      <c r="A291" s="26" t="s">
        <v>1085</v>
      </c>
      <c r="B291" s="2" t="s">
        <v>8</v>
      </c>
      <c r="C291" s="2" t="s">
        <v>89</v>
      </c>
      <c r="D291" s="2" t="s">
        <v>109</v>
      </c>
      <c r="E291" s="2" t="s">
        <v>1381</v>
      </c>
      <c r="G291" s="2" t="s">
        <v>284</v>
      </c>
      <c r="I291" s="2" t="s">
        <v>455</v>
      </c>
      <c r="J291" t="s">
        <v>647</v>
      </c>
      <c r="K291"/>
      <c r="L29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ETVMN.TR3.MED_3KV_T</v>
      </c>
      <c r="N291" s="13" t="str">
        <f>VLOOKUP(Tabla3[[#This Row],[Tipo]],TIPO[#All],2,0)</f>
        <v>ET</v>
      </c>
      <c r="O291" s="13" t="str">
        <f>VLOOKUP(Tabla3[[#This Row],[Lugar]],LUGAR[#All],2,0)</f>
        <v>VMN</v>
      </c>
      <c r="P291" s="13" t="str">
        <f>Tabla3[[#This Row],[SIGLAS]]</f>
        <v>TR3</v>
      </c>
      <c r="Q291" s="13" t="str">
        <f>_xlfn.IFNA(VLOOKUP(Tabla3[[#This Row],[Nivel de tension]],NIVEL[#All],2,0),"")</f>
        <v/>
      </c>
      <c r="R291" s="13" t="str">
        <f>_xlfn.IFNA(VLOOKUP(Tabla3[[#This Row],[DISPOSITIVO]],DISPOSITIVO[],2,0),"")</f>
        <v>MED_3</v>
      </c>
      <c r="S291" s="13" t="str">
        <f>_xlfn.IFNA(VLOOKUP(Tabla3[[#This Row],[PROTECCION SECUNDARIA]],PROTECCION_SECUNDARIA[],2,0),"")</f>
        <v/>
      </c>
      <c r="T291" s="13" t="str">
        <f>_xlfn.IFNA(VLOOKUP(Tabla3[[#This Row],[Que]],QUE[#All],2,0),"")</f>
        <v>KV</v>
      </c>
      <c r="U291" s="13" t="str">
        <f>_xlfn.IFNA(VLOOKUP(Tabla3[[#This Row],[Señal]],SEÑAL[#All],2,0),"")</f>
        <v>_T</v>
      </c>
      <c r="V291" s="13" t="str">
        <f>_xlfn.IFNA(VLOOKUP(Tabla3[[#This Row],[NUMERO]],SEÑAL[#All],2,0),"")</f>
        <v/>
      </c>
    </row>
    <row r="292" spans="1:22" x14ac:dyDescent="0.25">
      <c r="A292" s="26" t="s">
        <v>1086</v>
      </c>
      <c r="B292" s="2" t="s">
        <v>8</v>
      </c>
      <c r="C292" s="2" t="s">
        <v>89</v>
      </c>
      <c r="D292" s="2" t="s">
        <v>109</v>
      </c>
      <c r="E292" s="2" t="s">
        <v>1381</v>
      </c>
      <c r="G292" s="2" t="s">
        <v>284</v>
      </c>
      <c r="I292" s="2" t="s">
        <v>462</v>
      </c>
      <c r="J292"/>
      <c r="K292"/>
      <c r="L29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ETVMN.TR3.MED_3KW</v>
      </c>
      <c r="N292" s="13" t="str">
        <f>VLOOKUP(Tabla3[[#This Row],[Tipo]],TIPO[#All],2,0)</f>
        <v>ET</v>
      </c>
      <c r="O292" s="13" t="str">
        <f>VLOOKUP(Tabla3[[#This Row],[Lugar]],LUGAR[#All],2,0)</f>
        <v>VMN</v>
      </c>
      <c r="P292" s="13" t="str">
        <f>Tabla3[[#This Row],[SIGLAS]]</f>
        <v>TR3</v>
      </c>
      <c r="Q292" s="13" t="str">
        <f>_xlfn.IFNA(VLOOKUP(Tabla3[[#This Row],[Nivel de tension]],NIVEL[#All],2,0),"")</f>
        <v/>
      </c>
      <c r="R292" s="13" t="str">
        <f>_xlfn.IFNA(VLOOKUP(Tabla3[[#This Row],[DISPOSITIVO]],DISPOSITIVO[],2,0),"")</f>
        <v>MED_3</v>
      </c>
      <c r="S292" s="13" t="str">
        <f>_xlfn.IFNA(VLOOKUP(Tabla3[[#This Row],[PROTECCION SECUNDARIA]],PROTECCION_SECUNDARIA[],2,0),"")</f>
        <v/>
      </c>
      <c r="T292" s="13" t="str">
        <f>_xlfn.IFNA(VLOOKUP(Tabla3[[#This Row],[Que]],QUE[#All],2,0),"")</f>
        <v>KW</v>
      </c>
      <c r="U292" s="13" t="str">
        <f>_xlfn.IFNA(VLOOKUP(Tabla3[[#This Row],[Señal]],SEÑAL[#All],2,0),"")</f>
        <v/>
      </c>
      <c r="V292" s="13" t="str">
        <f>_xlfn.IFNA(VLOOKUP(Tabla3[[#This Row],[NUMERO]],SEÑAL[#All],2,0),"")</f>
        <v/>
      </c>
    </row>
    <row r="293" spans="1:22" x14ac:dyDescent="0.25">
      <c r="A293" s="26" t="s">
        <v>1087</v>
      </c>
      <c r="B293" s="2" t="s">
        <v>8</v>
      </c>
      <c r="C293" s="2" t="s">
        <v>89</v>
      </c>
      <c r="D293" s="2" t="s">
        <v>109</v>
      </c>
      <c r="E293" s="2" t="s">
        <v>1381</v>
      </c>
      <c r="G293" s="2" t="s">
        <v>284</v>
      </c>
      <c r="I293" s="2" t="s">
        <v>457</v>
      </c>
      <c r="J293"/>
      <c r="K293"/>
      <c r="L29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ETVMN.TR3.MED_3KVAR</v>
      </c>
      <c r="N293" s="13" t="str">
        <f>VLOOKUP(Tabla3[[#This Row],[Tipo]],TIPO[#All],2,0)</f>
        <v>ET</v>
      </c>
      <c r="O293" s="13" t="str">
        <f>VLOOKUP(Tabla3[[#This Row],[Lugar]],LUGAR[#All],2,0)</f>
        <v>VMN</v>
      </c>
      <c r="P293" s="13" t="str">
        <f>Tabla3[[#This Row],[SIGLAS]]</f>
        <v>TR3</v>
      </c>
      <c r="Q293" s="13" t="str">
        <f>_xlfn.IFNA(VLOOKUP(Tabla3[[#This Row],[Nivel de tension]],NIVEL[#All],2,0),"")</f>
        <v/>
      </c>
      <c r="R293" s="13" t="str">
        <f>_xlfn.IFNA(VLOOKUP(Tabla3[[#This Row],[DISPOSITIVO]],DISPOSITIVO[],2,0),"")</f>
        <v>MED_3</v>
      </c>
      <c r="S293" s="13" t="str">
        <f>_xlfn.IFNA(VLOOKUP(Tabla3[[#This Row],[PROTECCION SECUNDARIA]],PROTECCION_SECUNDARIA[],2,0),"")</f>
        <v/>
      </c>
      <c r="T293" s="13" t="str">
        <f>_xlfn.IFNA(VLOOKUP(Tabla3[[#This Row],[Que]],QUE[#All],2,0),"")</f>
        <v>KVAR</v>
      </c>
      <c r="U293" s="13" t="str">
        <f>_xlfn.IFNA(VLOOKUP(Tabla3[[#This Row],[Señal]],SEÑAL[#All],2,0),"")</f>
        <v/>
      </c>
      <c r="V293" s="13" t="str">
        <f>_xlfn.IFNA(VLOOKUP(Tabla3[[#This Row],[NUMERO]],SEÑAL[#All],2,0),"")</f>
        <v/>
      </c>
    </row>
    <row r="294" spans="1:22" x14ac:dyDescent="0.25">
      <c r="A294" s="26" t="s">
        <v>1088</v>
      </c>
      <c r="B294" s="2" t="s">
        <v>8</v>
      </c>
      <c r="C294" s="2" t="s">
        <v>89</v>
      </c>
      <c r="D294" s="2" t="s">
        <v>109</v>
      </c>
      <c r="E294" s="2" t="s">
        <v>1381</v>
      </c>
      <c r="G294" s="2" t="s">
        <v>284</v>
      </c>
      <c r="I294" s="2" t="s">
        <v>456</v>
      </c>
      <c r="J294"/>
      <c r="K294"/>
      <c r="L29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ETVMN.TR3.MED_3KVA</v>
      </c>
      <c r="N294" s="13" t="str">
        <f>VLOOKUP(Tabla3[[#This Row],[Tipo]],TIPO[#All],2,0)</f>
        <v>ET</v>
      </c>
      <c r="O294" s="13" t="str">
        <f>VLOOKUP(Tabla3[[#This Row],[Lugar]],LUGAR[#All],2,0)</f>
        <v>VMN</v>
      </c>
      <c r="P294" s="13" t="str">
        <f>Tabla3[[#This Row],[SIGLAS]]</f>
        <v>TR3</v>
      </c>
      <c r="Q294" s="13" t="str">
        <f>_xlfn.IFNA(VLOOKUP(Tabla3[[#This Row],[Nivel de tension]],NIVEL[#All],2,0),"")</f>
        <v/>
      </c>
      <c r="R294" s="13" t="str">
        <f>_xlfn.IFNA(VLOOKUP(Tabla3[[#This Row],[DISPOSITIVO]],DISPOSITIVO[],2,0),"")</f>
        <v>MED_3</v>
      </c>
      <c r="S294" s="13" t="str">
        <f>_xlfn.IFNA(VLOOKUP(Tabla3[[#This Row],[PROTECCION SECUNDARIA]],PROTECCION_SECUNDARIA[],2,0),"")</f>
        <v/>
      </c>
      <c r="T294" s="13" t="str">
        <f>_xlfn.IFNA(VLOOKUP(Tabla3[[#This Row],[Que]],QUE[#All],2,0),"")</f>
        <v>KVA</v>
      </c>
      <c r="U294" s="13" t="str">
        <f>_xlfn.IFNA(VLOOKUP(Tabla3[[#This Row],[Señal]],SEÑAL[#All],2,0),"")</f>
        <v/>
      </c>
      <c r="V294" s="13" t="str">
        <f>_xlfn.IFNA(VLOOKUP(Tabla3[[#This Row],[NUMERO]],SEÑAL[#All],2,0),"")</f>
        <v/>
      </c>
    </row>
    <row r="295" spans="1:22" x14ac:dyDescent="0.25">
      <c r="A295" s="26" t="s">
        <v>1089</v>
      </c>
      <c r="B295" s="2" t="s">
        <v>8</v>
      </c>
      <c r="C295" s="2" t="s">
        <v>89</v>
      </c>
      <c r="D295" s="2" t="s">
        <v>109</v>
      </c>
      <c r="E295" s="2" t="s">
        <v>1381</v>
      </c>
      <c r="F295" s="2" t="s">
        <v>3</v>
      </c>
      <c r="I295" s="2" t="s">
        <v>848</v>
      </c>
      <c r="J295"/>
      <c r="K295"/>
      <c r="L29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ETVMN.TR3.1LL</v>
      </c>
      <c r="N295" s="13" t="str">
        <f>VLOOKUP(Tabla3[[#This Row],[Tipo]],TIPO[#All],2,0)</f>
        <v>ET</v>
      </c>
      <c r="O295" s="13" t="str">
        <f>VLOOKUP(Tabla3[[#This Row],[Lugar]],LUGAR[#All],2,0)</f>
        <v>VMN</v>
      </c>
      <c r="P295" s="13" t="str">
        <f>Tabla3[[#This Row],[SIGLAS]]</f>
        <v>TR3</v>
      </c>
      <c r="Q295" s="13">
        <f>_xlfn.IFNA(VLOOKUP(Tabla3[[#This Row],[Nivel de tension]],NIVEL[#All],2,0),"")</f>
        <v>1</v>
      </c>
      <c r="R295" s="13" t="str">
        <f>_xlfn.IFNA(VLOOKUP(Tabla3[[#This Row],[DISPOSITIVO]],DISPOSITIVO[],2,0),"")</f>
        <v/>
      </c>
      <c r="S295" s="13" t="str">
        <f>_xlfn.IFNA(VLOOKUP(Tabla3[[#This Row],[PROTECCION SECUNDARIA]],PROTECCION_SECUNDARIA[],2,0),"")</f>
        <v/>
      </c>
      <c r="T295" s="13" t="str">
        <f>_xlfn.IFNA(VLOOKUP(Tabla3[[#This Row],[Que]],QUE[#All],2,0),"")</f>
        <v>LL</v>
      </c>
      <c r="U295" s="13" t="str">
        <f>_xlfn.IFNA(VLOOKUP(Tabla3[[#This Row],[Señal]],SEÑAL[#All],2,0),"")</f>
        <v/>
      </c>
      <c r="V295" s="13" t="str">
        <f>_xlfn.IFNA(VLOOKUP(Tabla3[[#This Row],[NUMERO]],SEÑAL[#All],2,0),"")</f>
        <v/>
      </c>
    </row>
    <row r="296" spans="1:22" x14ac:dyDescent="0.25">
      <c r="A296" s="26" t="s">
        <v>1090</v>
      </c>
      <c r="B296" s="2" t="s">
        <v>8</v>
      </c>
      <c r="C296" s="2" t="s">
        <v>89</v>
      </c>
      <c r="D296" s="2" t="s">
        <v>109</v>
      </c>
      <c r="E296" s="2" t="s">
        <v>1381</v>
      </c>
      <c r="F296" s="2" t="s">
        <v>3</v>
      </c>
      <c r="I296" s="2" t="s">
        <v>384</v>
      </c>
      <c r="J296" t="s">
        <v>438</v>
      </c>
      <c r="K296"/>
      <c r="L29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ETVMN.TR3.152_EST</v>
      </c>
      <c r="N296" s="13" t="str">
        <f>VLOOKUP(Tabla3[[#This Row],[Tipo]],TIPO[#All],2,0)</f>
        <v>ET</v>
      </c>
      <c r="O296" s="13" t="str">
        <f>VLOOKUP(Tabla3[[#This Row],[Lugar]],LUGAR[#All],2,0)</f>
        <v>VMN</v>
      </c>
      <c r="P296" s="13" t="str">
        <f>Tabla3[[#This Row],[SIGLAS]]</f>
        <v>TR3</v>
      </c>
      <c r="Q296" s="13">
        <f>_xlfn.IFNA(VLOOKUP(Tabla3[[#This Row],[Nivel de tension]],NIVEL[#All],2,0),"")</f>
        <v>1</v>
      </c>
      <c r="R296" s="13" t="str">
        <f>_xlfn.IFNA(VLOOKUP(Tabla3[[#This Row],[DISPOSITIVO]],DISPOSITIVO[],2,0),"")</f>
        <v/>
      </c>
      <c r="S296" s="13" t="str">
        <f>_xlfn.IFNA(VLOOKUP(Tabla3[[#This Row],[PROTECCION SECUNDARIA]],PROTECCION_SECUNDARIA[],2,0),"")</f>
        <v/>
      </c>
      <c r="T296" s="13" t="str">
        <f>_xlfn.IFNA(VLOOKUP(Tabla3[[#This Row],[Que]],QUE[#All],2,0),"")</f>
        <v>52</v>
      </c>
      <c r="U296" s="13" t="str">
        <f>_xlfn.IFNA(VLOOKUP(Tabla3[[#This Row],[Señal]],SEÑAL[#All],2,0),"")</f>
        <v>_EST</v>
      </c>
      <c r="V296" s="13" t="str">
        <f>_xlfn.IFNA(VLOOKUP(Tabla3[[#This Row],[NUMERO]],SEÑAL[#All],2,0),"")</f>
        <v/>
      </c>
    </row>
    <row r="297" spans="1:22" x14ac:dyDescent="0.25">
      <c r="A297" s="26" t="s">
        <v>1091</v>
      </c>
      <c r="B297" s="2" t="s">
        <v>8</v>
      </c>
      <c r="C297" s="2" t="s">
        <v>89</v>
      </c>
      <c r="D297" s="2" t="s">
        <v>109</v>
      </c>
      <c r="E297" s="2" t="s">
        <v>1381</v>
      </c>
      <c r="F297" s="2" t="s">
        <v>14</v>
      </c>
      <c r="I297" s="2" t="s">
        <v>493</v>
      </c>
      <c r="J297"/>
      <c r="K297"/>
      <c r="L29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ETVMN.TR3.3UILUM</v>
      </c>
      <c r="N297" s="13" t="str">
        <f>VLOOKUP(Tabla3[[#This Row],[Tipo]],TIPO[#All],2,0)</f>
        <v>ET</v>
      </c>
      <c r="O297" s="13" t="str">
        <f>VLOOKUP(Tabla3[[#This Row],[Lugar]],LUGAR[#All],2,0)</f>
        <v>VMN</v>
      </c>
      <c r="P297" s="13" t="str">
        <f>Tabla3[[#This Row],[SIGLAS]]</f>
        <v>TR3</v>
      </c>
      <c r="Q297" s="13">
        <f>_xlfn.IFNA(VLOOKUP(Tabla3[[#This Row],[Nivel de tension]],NIVEL[#All],2,0),"")</f>
        <v>3</v>
      </c>
      <c r="R297" s="13" t="str">
        <f>_xlfn.IFNA(VLOOKUP(Tabla3[[#This Row],[DISPOSITIVO]],DISPOSITIVO[],2,0),"")</f>
        <v/>
      </c>
      <c r="S297" s="13" t="str">
        <f>_xlfn.IFNA(VLOOKUP(Tabla3[[#This Row],[PROTECCION SECUNDARIA]],PROTECCION_SECUNDARIA[],2,0),"")</f>
        <v/>
      </c>
      <c r="T297" s="13" t="str">
        <f>_xlfn.IFNA(VLOOKUP(Tabla3[[#This Row],[Que]],QUE[#All],2,0),"")</f>
        <v>UILUM</v>
      </c>
      <c r="U297" s="13" t="str">
        <f>_xlfn.IFNA(VLOOKUP(Tabla3[[#This Row],[Señal]],SEÑAL[#All],2,0),"")</f>
        <v/>
      </c>
      <c r="V297" s="13" t="str">
        <f>_xlfn.IFNA(VLOOKUP(Tabla3[[#This Row],[NUMERO]],SEÑAL[#All],2,0),"")</f>
        <v/>
      </c>
    </row>
    <row r="298" spans="1:22" x14ac:dyDescent="0.25">
      <c r="A298" s="26" t="s">
        <v>1092</v>
      </c>
      <c r="B298" s="2" t="s">
        <v>8</v>
      </c>
      <c r="C298" s="2" t="s">
        <v>89</v>
      </c>
      <c r="D298" s="2" t="s">
        <v>109</v>
      </c>
      <c r="E298" s="2" t="s">
        <v>1381</v>
      </c>
      <c r="F298" s="2" t="s">
        <v>14</v>
      </c>
      <c r="J298"/>
      <c r="K298"/>
      <c r="L29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</v>
      </c>
      <c r="N298" s="13" t="str">
        <f>VLOOKUP(Tabla3[[#This Row],[Tipo]],TIPO[#All],2,0)</f>
        <v>ET</v>
      </c>
      <c r="O298" s="13" t="str">
        <f>VLOOKUP(Tabla3[[#This Row],[Lugar]],LUGAR[#All],2,0)</f>
        <v>VMN</v>
      </c>
      <c r="P298" s="13" t="str">
        <f>Tabla3[[#This Row],[SIGLAS]]</f>
        <v>TR3</v>
      </c>
      <c r="Q298" s="13">
        <f>_xlfn.IFNA(VLOOKUP(Tabla3[[#This Row],[Nivel de tension]],NIVEL[#All],2,0),"")</f>
        <v>3</v>
      </c>
      <c r="R298" s="13" t="str">
        <f>_xlfn.IFNA(VLOOKUP(Tabla3[[#This Row],[DISPOSITIVO]],DISPOSITIVO[],2,0),"")</f>
        <v/>
      </c>
      <c r="S298" s="13" t="str">
        <f>_xlfn.IFNA(VLOOKUP(Tabla3[[#This Row],[PROTECCION SECUNDARIA]],PROTECCION_SECUNDARIA[],2,0),"")</f>
        <v/>
      </c>
      <c r="T298" s="13" t="str">
        <f>_xlfn.IFNA(VLOOKUP(Tabla3[[#This Row],[Que]],QUE[#All],2,0),"")</f>
        <v/>
      </c>
      <c r="U298" s="13" t="str">
        <f>_xlfn.IFNA(VLOOKUP(Tabla3[[#This Row],[Señal]],SEÑAL[#All],2,0),"")</f>
        <v/>
      </c>
      <c r="V298" s="13" t="str">
        <f>_xlfn.IFNA(VLOOKUP(Tabla3[[#This Row],[NUMERO]],SEÑAL[#All],2,0),"")</f>
        <v/>
      </c>
    </row>
    <row r="299" spans="1:22" x14ac:dyDescent="0.25">
      <c r="A299" s="26" t="s">
        <v>1093</v>
      </c>
      <c r="B299" s="2" t="s">
        <v>8</v>
      </c>
      <c r="C299" s="2" t="s">
        <v>89</v>
      </c>
      <c r="D299" s="2" t="s">
        <v>109</v>
      </c>
      <c r="E299" s="2" t="s">
        <v>1381</v>
      </c>
      <c r="F299" s="2" t="s">
        <v>14</v>
      </c>
      <c r="J299"/>
      <c r="K299"/>
      <c r="L29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</v>
      </c>
      <c r="N299" s="13" t="str">
        <f>VLOOKUP(Tabla3[[#This Row],[Tipo]],TIPO[#All],2,0)</f>
        <v>ET</v>
      </c>
      <c r="O299" s="13" t="str">
        <f>VLOOKUP(Tabla3[[#This Row],[Lugar]],LUGAR[#All],2,0)</f>
        <v>VMN</v>
      </c>
      <c r="P299" s="13" t="str">
        <f>Tabla3[[#This Row],[SIGLAS]]</f>
        <v>TR3</v>
      </c>
      <c r="Q299" s="13">
        <f>_xlfn.IFNA(VLOOKUP(Tabla3[[#This Row],[Nivel de tension]],NIVEL[#All],2,0),"")</f>
        <v>3</v>
      </c>
      <c r="R299" s="13" t="str">
        <f>_xlfn.IFNA(VLOOKUP(Tabla3[[#This Row],[DISPOSITIVO]],DISPOSITIVO[],2,0),"")</f>
        <v/>
      </c>
      <c r="S299" s="13" t="str">
        <f>_xlfn.IFNA(VLOOKUP(Tabla3[[#This Row],[PROTECCION SECUNDARIA]],PROTECCION_SECUNDARIA[],2,0),"")</f>
        <v/>
      </c>
      <c r="T299" s="13" t="str">
        <f>_xlfn.IFNA(VLOOKUP(Tabla3[[#This Row],[Que]],QUE[#All],2,0),"")</f>
        <v/>
      </c>
      <c r="U299" s="13" t="str">
        <f>_xlfn.IFNA(VLOOKUP(Tabla3[[#This Row],[Señal]],SEÑAL[#All],2,0),"")</f>
        <v/>
      </c>
      <c r="V299" s="13" t="str">
        <f>_xlfn.IFNA(VLOOKUP(Tabla3[[#This Row],[NUMERO]],SEÑAL[#All],2,0),"")</f>
        <v/>
      </c>
    </row>
    <row r="300" spans="1:22" x14ac:dyDescent="0.25">
      <c r="A300" s="26" t="s">
        <v>1094</v>
      </c>
      <c r="B300" s="2" t="s">
        <v>8</v>
      </c>
      <c r="C300" s="2" t="s">
        <v>89</v>
      </c>
      <c r="D300" s="2" t="s">
        <v>109</v>
      </c>
      <c r="E300" s="2" t="s">
        <v>1381</v>
      </c>
      <c r="F300" s="2" t="s">
        <v>14</v>
      </c>
      <c r="G300" s="2" t="s">
        <v>29</v>
      </c>
      <c r="I300" s="2" t="s">
        <v>1428</v>
      </c>
      <c r="J300"/>
      <c r="K300"/>
      <c r="L30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ETVMN.TR3.352_FM</v>
      </c>
      <c r="N300" s="13" t="str">
        <f>VLOOKUP(Tabla3[[#This Row],[Tipo]],TIPO[#All],2,0)</f>
        <v>ET</v>
      </c>
      <c r="O300" s="13" t="str">
        <f>VLOOKUP(Tabla3[[#This Row],[Lugar]],LUGAR[#All],2,0)</f>
        <v>VMN</v>
      </c>
      <c r="P300" s="13" t="str">
        <f>Tabla3[[#This Row],[SIGLAS]]</f>
        <v>TR3</v>
      </c>
      <c r="Q300" s="13">
        <f>_xlfn.IFNA(VLOOKUP(Tabla3[[#This Row],[Nivel de tension]],NIVEL[#All],2,0),"")</f>
        <v>3</v>
      </c>
      <c r="R300" s="13" t="str">
        <f>_xlfn.IFNA(VLOOKUP(Tabla3[[#This Row],[DISPOSITIVO]],DISPOSITIVO[],2,0),"")</f>
        <v>52_</v>
      </c>
      <c r="S300" s="13" t="str">
        <f>_xlfn.IFNA(VLOOKUP(Tabla3[[#This Row],[PROTECCION SECUNDARIA]],PROTECCION_SECUNDARIA[],2,0),"")</f>
        <v/>
      </c>
      <c r="T300" s="13" t="str">
        <f>_xlfn.IFNA(VLOOKUP(Tabla3[[#This Row],[Que]],QUE[#All],2,0),"")</f>
        <v>FM</v>
      </c>
      <c r="U300" s="13" t="str">
        <f>_xlfn.IFNA(VLOOKUP(Tabla3[[#This Row],[Señal]],SEÑAL[#All],2,0),"")</f>
        <v/>
      </c>
      <c r="V300" s="13" t="str">
        <f>_xlfn.IFNA(VLOOKUP(Tabla3[[#This Row],[NUMERO]],SEÑAL[#All],2,0),"")</f>
        <v/>
      </c>
    </row>
    <row r="301" spans="1:22" x14ac:dyDescent="0.25">
      <c r="A301" s="26" t="s">
        <v>1095</v>
      </c>
      <c r="B301" s="2" t="s">
        <v>8</v>
      </c>
      <c r="C301" s="2" t="s">
        <v>89</v>
      </c>
      <c r="D301" s="2" t="s">
        <v>109</v>
      </c>
      <c r="E301" s="2" t="s">
        <v>1381</v>
      </c>
      <c r="F301" s="2" t="s">
        <v>14</v>
      </c>
      <c r="G301" s="2" t="s">
        <v>29</v>
      </c>
      <c r="I301" s="2" t="s">
        <v>446</v>
      </c>
      <c r="J301"/>
      <c r="K301"/>
      <c r="L30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ETVMN.TR3.352_GAS</v>
      </c>
      <c r="N301" s="13" t="str">
        <f>VLOOKUP(Tabla3[[#This Row],[Tipo]],TIPO[#All],2,0)</f>
        <v>ET</v>
      </c>
      <c r="O301" s="13" t="str">
        <f>VLOOKUP(Tabla3[[#This Row],[Lugar]],LUGAR[#All],2,0)</f>
        <v>VMN</v>
      </c>
      <c r="P301" s="13" t="str">
        <f>Tabla3[[#This Row],[SIGLAS]]</f>
        <v>TR3</v>
      </c>
      <c r="Q301" s="13">
        <f>_xlfn.IFNA(VLOOKUP(Tabla3[[#This Row],[Nivel de tension]],NIVEL[#All],2,0),"")</f>
        <v>3</v>
      </c>
      <c r="R301" s="13" t="str">
        <f>_xlfn.IFNA(VLOOKUP(Tabla3[[#This Row],[DISPOSITIVO]],DISPOSITIVO[],2,0),"")</f>
        <v>52_</v>
      </c>
      <c r="S301" s="13" t="str">
        <f>_xlfn.IFNA(VLOOKUP(Tabla3[[#This Row],[PROTECCION SECUNDARIA]],PROTECCION_SECUNDARIA[],2,0),"")</f>
        <v/>
      </c>
      <c r="T301" s="13" t="str">
        <f>_xlfn.IFNA(VLOOKUP(Tabla3[[#This Row],[Que]],QUE[#All],2,0),"")</f>
        <v>GAS</v>
      </c>
      <c r="U301" s="13" t="str">
        <f>_xlfn.IFNA(VLOOKUP(Tabla3[[#This Row],[Señal]],SEÑAL[#All],2,0),"")</f>
        <v/>
      </c>
      <c r="V301" s="13" t="str">
        <f>_xlfn.IFNA(VLOOKUP(Tabla3[[#This Row],[NUMERO]],SEÑAL[#All],2,0),"")</f>
        <v/>
      </c>
    </row>
    <row r="302" spans="1:22" x14ac:dyDescent="0.25">
      <c r="A302" s="26" t="s">
        <v>1096</v>
      </c>
      <c r="B302" s="2" t="s">
        <v>8</v>
      </c>
      <c r="C302" s="2" t="s">
        <v>89</v>
      </c>
      <c r="D302" s="2" t="s">
        <v>109</v>
      </c>
      <c r="E302" s="2" t="s">
        <v>1381</v>
      </c>
      <c r="F302" s="2" t="s">
        <v>14</v>
      </c>
      <c r="G302" s="2" t="s">
        <v>29</v>
      </c>
      <c r="I302" s="2" t="s">
        <v>413</v>
      </c>
      <c r="J302" t="s">
        <v>584</v>
      </c>
      <c r="K302"/>
      <c r="L30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ETVMN.TR3.352_BL_GAS</v>
      </c>
      <c r="N302" s="13" t="str">
        <f>VLOOKUP(Tabla3[[#This Row],[Tipo]],TIPO[#All],2,0)</f>
        <v>ET</v>
      </c>
      <c r="O302" s="13" t="str">
        <f>VLOOKUP(Tabla3[[#This Row],[Lugar]],LUGAR[#All],2,0)</f>
        <v>VMN</v>
      </c>
      <c r="P302" s="13" t="str">
        <f>Tabla3[[#This Row],[SIGLAS]]</f>
        <v>TR3</v>
      </c>
      <c r="Q302" s="13">
        <f>_xlfn.IFNA(VLOOKUP(Tabla3[[#This Row],[Nivel de tension]],NIVEL[#All],2,0),"")</f>
        <v>3</v>
      </c>
      <c r="R302" s="13" t="str">
        <f>_xlfn.IFNA(VLOOKUP(Tabla3[[#This Row],[DISPOSITIVO]],DISPOSITIVO[],2,0),"")</f>
        <v>52_</v>
      </c>
      <c r="S302" s="13" t="str">
        <f>_xlfn.IFNA(VLOOKUP(Tabla3[[#This Row],[PROTECCION SECUNDARIA]],PROTECCION_SECUNDARIA[],2,0),"")</f>
        <v/>
      </c>
      <c r="T302" s="13" t="str">
        <f>_xlfn.IFNA(VLOOKUP(Tabla3[[#This Row],[Que]],QUE[#All],2,0),"")</f>
        <v>BL</v>
      </c>
      <c r="U302" s="13" t="str">
        <f>_xlfn.IFNA(VLOOKUP(Tabla3[[#This Row],[Señal]],SEÑAL[#All],2,0),"")</f>
        <v>_GAS</v>
      </c>
      <c r="V302" s="13" t="str">
        <f>_xlfn.IFNA(VLOOKUP(Tabla3[[#This Row],[NUMERO]],SEÑAL[#All],2,0),"")</f>
        <v/>
      </c>
    </row>
    <row r="303" spans="1:22" x14ac:dyDescent="0.25">
      <c r="A303" s="26" t="s">
        <v>1097</v>
      </c>
      <c r="B303" s="2" t="s">
        <v>8</v>
      </c>
      <c r="C303" s="2" t="s">
        <v>89</v>
      </c>
      <c r="D303" s="2" t="s">
        <v>109</v>
      </c>
      <c r="E303" s="2" t="s">
        <v>1381</v>
      </c>
      <c r="F303" s="2" t="s">
        <v>14</v>
      </c>
      <c r="G303" s="2" t="s">
        <v>29</v>
      </c>
      <c r="I303" s="2" t="s">
        <v>848</v>
      </c>
      <c r="J303"/>
      <c r="K303"/>
      <c r="L30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ETVMN.TR3.352_LL</v>
      </c>
      <c r="N303" s="13" t="str">
        <f>VLOOKUP(Tabla3[[#This Row],[Tipo]],TIPO[#All],2,0)</f>
        <v>ET</v>
      </c>
      <c r="O303" s="13" t="str">
        <f>VLOOKUP(Tabla3[[#This Row],[Lugar]],LUGAR[#All],2,0)</f>
        <v>VMN</v>
      </c>
      <c r="P303" s="13" t="str">
        <f>Tabla3[[#This Row],[SIGLAS]]</f>
        <v>TR3</v>
      </c>
      <c r="Q303" s="13">
        <f>_xlfn.IFNA(VLOOKUP(Tabla3[[#This Row],[Nivel de tension]],NIVEL[#All],2,0),"")</f>
        <v>3</v>
      </c>
      <c r="R303" s="13" t="str">
        <f>_xlfn.IFNA(VLOOKUP(Tabla3[[#This Row],[DISPOSITIVO]],DISPOSITIVO[],2,0),"")</f>
        <v>52_</v>
      </c>
      <c r="S303" s="13" t="str">
        <f>_xlfn.IFNA(VLOOKUP(Tabla3[[#This Row],[PROTECCION SECUNDARIA]],PROTECCION_SECUNDARIA[],2,0),"")</f>
        <v/>
      </c>
      <c r="T303" s="13" t="str">
        <f>_xlfn.IFNA(VLOOKUP(Tabla3[[#This Row],[Que]],QUE[#All],2,0),"")</f>
        <v>LL</v>
      </c>
      <c r="U303" s="13" t="str">
        <f>_xlfn.IFNA(VLOOKUP(Tabla3[[#This Row],[Señal]],SEÑAL[#All],2,0),"")</f>
        <v/>
      </c>
      <c r="V303" s="13" t="str">
        <f>_xlfn.IFNA(VLOOKUP(Tabla3[[#This Row],[NUMERO]],SEÑAL[#All],2,0),"")</f>
        <v/>
      </c>
    </row>
    <row r="304" spans="1:22" x14ac:dyDescent="0.25">
      <c r="A304" s="26" t="s">
        <v>1098</v>
      </c>
      <c r="B304" s="2" t="s">
        <v>8</v>
      </c>
      <c r="C304" s="2" t="s">
        <v>89</v>
      </c>
      <c r="D304" s="2" t="s">
        <v>109</v>
      </c>
      <c r="E304" s="2" t="s">
        <v>1381</v>
      </c>
      <c r="F304" s="2" t="s">
        <v>14</v>
      </c>
      <c r="G304" s="2" t="s">
        <v>29</v>
      </c>
      <c r="I304" s="2" t="s">
        <v>476</v>
      </c>
      <c r="J304"/>
      <c r="K304"/>
      <c r="L30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ETVMN.TR3.352_PUERTA</v>
      </c>
      <c r="N304" s="13" t="str">
        <f>VLOOKUP(Tabla3[[#This Row],[Tipo]],TIPO[#All],2,0)</f>
        <v>ET</v>
      </c>
      <c r="O304" s="13" t="str">
        <f>VLOOKUP(Tabla3[[#This Row],[Lugar]],LUGAR[#All],2,0)</f>
        <v>VMN</v>
      </c>
      <c r="P304" s="13" t="str">
        <f>Tabla3[[#This Row],[SIGLAS]]</f>
        <v>TR3</v>
      </c>
      <c r="Q304" s="13">
        <f>_xlfn.IFNA(VLOOKUP(Tabla3[[#This Row],[Nivel de tension]],NIVEL[#All],2,0),"")</f>
        <v>3</v>
      </c>
      <c r="R304" s="13" t="str">
        <f>_xlfn.IFNA(VLOOKUP(Tabla3[[#This Row],[DISPOSITIVO]],DISPOSITIVO[],2,0),"")</f>
        <v>52_</v>
      </c>
      <c r="S304" s="13" t="str">
        <f>_xlfn.IFNA(VLOOKUP(Tabla3[[#This Row],[PROTECCION SECUNDARIA]],PROTECCION_SECUNDARIA[],2,0),"")</f>
        <v/>
      </c>
      <c r="T304" s="13" t="str">
        <f>_xlfn.IFNA(VLOOKUP(Tabla3[[#This Row],[Que]],QUE[#All],2,0),"")</f>
        <v>PUERTA</v>
      </c>
      <c r="U304" s="13" t="str">
        <f>_xlfn.IFNA(VLOOKUP(Tabla3[[#This Row],[Señal]],SEÑAL[#All],2,0),"")</f>
        <v/>
      </c>
      <c r="V304" s="13" t="str">
        <f>_xlfn.IFNA(VLOOKUP(Tabla3[[#This Row],[NUMERO]],SEÑAL[#All],2,0),"")</f>
        <v/>
      </c>
    </row>
    <row r="305" spans="1:22" x14ac:dyDescent="0.25">
      <c r="A305" s="26" t="s">
        <v>1099</v>
      </c>
      <c r="B305" s="2" t="s">
        <v>8</v>
      </c>
      <c r="C305" s="2" t="s">
        <v>89</v>
      </c>
      <c r="D305" s="2" t="s">
        <v>109</v>
      </c>
      <c r="E305" s="2" t="s">
        <v>1381</v>
      </c>
      <c r="F305" s="2" t="s">
        <v>14</v>
      </c>
      <c r="G305" s="2" t="s">
        <v>29</v>
      </c>
      <c r="I305" s="2" t="s">
        <v>478</v>
      </c>
      <c r="J305"/>
      <c r="K305"/>
      <c r="L30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ETVMN.TR3.352_RESDES</v>
      </c>
      <c r="N305" s="13" t="str">
        <f>VLOOKUP(Tabla3[[#This Row],[Tipo]],TIPO[#All],2,0)</f>
        <v>ET</v>
      </c>
      <c r="O305" s="13" t="str">
        <f>VLOOKUP(Tabla3[[#This Row],[Lugar]],LUGAR[#All],2,0)</f>
        <v>VMN</v>
      </c>
      <c r="P305" s="13" t="str">
        <f>Tabla3[[#This Row],[SIGLAS]]</f>
        <v>TR3</v>
      </c>
      <c r="Q305" s="13">
        <f>_xlfn.IFNA(VLOOKUP(Tabla3[[#This Row],[Nivel de tension]],NIVEL[#All],2,0),"")</f>
        <v>3</v>
      </c>
      <c r="R305" s="13" t="str">
        <f>_xlfn.IFNA(VLOOKUP(Tabla3[[#This Row],[DISPOSITIVO]],DISPOSITIVO[],2,0),"")</f>
        <v>52_</v>
      </c>
      <c r="S305" s="13" t="str">
        <f>_xlfn.IFNA(VLOOKUP(Tabla3[[#This Row],[PROTECCION SECUNDARIA]],PROTECCION_SECUNDARIA[],2,0),"")</f>
        <v/>
      </c>
      <c r="T305" s="13" t="str">
        <f>_xlfn.IFNA(VLOOKUP(Tabla3[[#This Row],[Que]],QUE[#All],2,0),"")</f>
        <v>RESDES</v>
      </c>
      <c r="U305" s="13" t="str">
        <f>_xlfn.IFNA(VLOOKUP(Tabla3[[#This Row],[Señal]],SEÑAL[#All],2,0),"")</f>
        <v/>
      </c>
      <c r="V305" s="13" t="str">
        <f>_xlfn.IFNA(VLOOKUP(Tabla3[[#This Row],[NUMERO]],SEÑAL[#All],2,0),"")</f>
        <v/>
      </c>
    </row>
    <row r="306" spans="1:22" x14ac:dyDescent="0.25">
      <c r="A306" s="26" t="s">
        <v>1100</v>
      </c>
      <c r="B306" s="2" t="s">
        <v>8</v>
      </c>
      <c r="C306" s="2" t="s">
        <v>89</v>
      </c>
      <c r="D306" s="2" t="s">
        <v>109</v>
      </c>
      <c r="E306" s="2" t="s">
        <v>1381</v>
      </c>
      <c r="F306" s="2" t="s">
        <v>14</v>
      </c>
      <c r="G306" s="2" t="s">
        <v>29</v>
      </c>
      <c r="I306" s="2" t="s">
        <v>863</v>
      </c>
      <c r="J306"/>
      <c r="K306"/>
      <c r="L30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ETVMN.TR3.352_VCDO</v>
      </c>
      <c r="N306" s="13" t="str">
        <f>VLOOKUP(Tabla3[[#This Row],[Tipo]],TIPO[#All],2,0)</f>
        <v>ET</v>
      </c>
      <c r="O306" s="13" t="str">
        <f>VLOOKUP(Tabla3[[#This Row],[Lugar]],LUGAR[#All],2,0)</f>
        <v>VMN</v>
      </c>
      <c r="P306" s="13" t="str">
        <f>Tabla3[[#This Row],[SIGLAS]]</f>
        <v>TR3</v>
      </c>
      <c r="Q306" s="13">
        <f>_xlfn.IFNA(VLOOKUP(Tabla3[[#This Row],[Nivel de tension]],NIVEL[#All],2,0),"")</f>
        <v>3</v>
      </c>
      <c r="R306" s="13" t="str">
        <f>_xlfn.IFNA(VLOOKUP(Tabla3[[#This Row],[DISPOSITIVO]],DISPOSITIVO[],2,0),"")</f>
        <v>52_</v>
      </c>
      <c r="S306" s="13" t="str">
        <f>_xlfn.IFNA(VLOOKUP(Tabla3[[#This Row],[PROTECCION SECUNDARIA]],PROTECCION_SECUNDARIA[],2,0),"")</f>
        <v/>
      </c>
      <c r="T306" s="13" t="str">
        <f>_xlfn.IFNA(VLOOKUP(Tabla3[[#This Row],[Que]],QUE[#All],2,0),"")</f>
        <v>VCDO</v>
      </c>
      <c r="U306" s="13" t="str">
        <f>_xlfn.IFNA(VLOOKUP(Tabla3[[#This Row],[Señal]],SEÑAL[#All],2,0),"")</f>
        <v/>
      </c>
      <c r="V306" s="13" t="str">
        <f>_xlfn.IFNA(VLOOKUP(Tabla3[[#This Row],[NUMERO]],SEÑAL[#All],2,0),"")</f>
        <v/>
      </c>
    </row>
    <row r="307" spans="1:22" x14ac:dyDescent="0.25">
      <c r="A307" s="26" t="s">
        <v>1101</v>
      </c>
      <c r="B307" s="2" t="s">
        <v>8</v>
      </c>
      <c r="C307" s="2" t="s">
        <v>89</v>
      </c>
      <c r="D307" s="2" t="s">
        <v>109</v>
      </c>
      <c r="E307" s="2" t="s">
        <v>1381</v>
      </c>
      <c r="F307" s="2" t="s">
        <v>14</v>
      </c>
      <c r="G307" s="2" t="s">
        <v>859</v>
      </c>
      <c r="I307" s="2" t="s">
        <v>1428</v>
      </c>
      <c r="J307"/>
      <c r="K307"/>
      <c r="L30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ETVMN.TR3.389B_FM</v>
      </c>
      <c r="N307" s="13" t="str">
        <f>VLOOKUP(Tabla3[[#This Row],[Tipo]],TIPO[#All],2,0)</f>
        <v>ET</v>
      </c>
      <c r="O307" s="13" t="str">
        <f>VLOOKUP(Tabla3[[#This Row],[Lugar]],LUGAR[#All],2,0)</f>
        <v>VMN</v>
      </c>
      <c r="P307" s="13" t="str">
        <f>Tabla3[[#This Row],[SIGLAS]]</f>
        <v>TR3</v>
      </c>
      <c r="Q307" s="13">
        <f>_xlfn.IFNA(VLOOKUP(Tabla3[[#This Row],[Nivel de tension]],NIVEL[#All],2,0),"")</f>
        <v>3</v>
      </c>
      <c r="R307" s="13" t="str">
        <f>_xlfn.IFNA(VLOOKUP(Tabla3[[#This Row],[DISPOSITIVO]],DISPOSITIVO[],2,0),"")</f>
        <v>89B_</v>
      </c>
      <c r="S307" s="13" t="str">
        <f>_xlfn.IFNA(VLOOKUP(Tabla3[[#This Row],[PROTECCION SECUNDARIA]],PROTECCION_SECUNDARIA[],2,0),"")</f>
        <v/>
      </c>
      <c r="T307" s="13" t="str">
        <f>_xlfn.IFNA(VLOOKUP(Tabla3[[#This Row],[Que]],QUE[#All],2,0),"")</f>
        <v>FM</v>
      </c>
      <c r="U307" s="13" t="str">
        <f>_xlfn.IFNA(VLOOKUP(Tabla3[[#This Row],[Señal]],SEÑAL[#All],2,0),"")</f>
        <v/>
      </c>
      <c r="V307" s="13" t="str">
        <f>_xlfn.IFNA(VLOOKUP(Tabla3[[#This Row],[NUMERO]],SEÑAL[#All],2,0),"")</f>
        <v/>
      </c>
    </row>
    <row r="308" spans="1:22" x14ac:dyDescent="0.25">
      <c r="A308" s="26" t="s">
        <v>1102</v>
      </c>
      <c r="B308" s="2" t="s">
        <v>8</v>
      </c>
      <c r="C308" s="2" t="s">
        <v>89</v>
      </c>
      <c r="D308" s="2" t="s">
        <v>109</v>
      </c>
      <c r="E308" s="2" t="s">
        <v>1381</v>
      </c>
      <c r="F308" s="2" t="s">
        <v>14</v>
      </c>
      <c r="G308" s="2" t="s">
        <v>859</v>
      </c>
      <c r="I308" s="2" t="s">
        <v>848</v>
      </c>
      <c r="J308"/>
      <c r="K308"/>
      <c r="L30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ETVMN.TR3.389B_LL</v>
      </c>
      <c r="N308" s="13" t="str">
        <f>VLOOKUP(Tabla3[[#This Row],[Tipo]],TIPO[#All],2,0)</f>
        <v>ET</v>
      </c>
      <c r="O308" s="13" t="str">
        <f>VLOOKUP(Tabla3[[#This Row],[Lugar]],LUGAR[#All],2,0)</f>
        <v>VMN</v>
      </c>
      <c r="P308" s="13" t="str">
        <f>Tabla3[[#This Row],[SIGLAS]]</f>
        <v>TR3</v>
      </c>
      <c r="Q308" s="13">
        <f>_xlfn.IFNA(VLOOKUP(Tabla3[[#This Row],[Nivel de tension]],NIVEL[#All],2,0),"")</f>
        <v>3</v>
      </c>
      <c r="R308" s="13" t="str">
        <f>_xlfn.IFNA(VLOOKUP(Tabla3[[#This Row],[DISPOSITIVO]],DISPOSITIVO[],2,0),"")</f>
        <v>89B_</v>
      </c>
      <c r="S308" s="13" t="str">
        <f>_xlfn.IFNA(VLOOKUP(Tabla3[[#This Row],[PROTECCION SECUNDARIA]],PROTECCION_SECUNDARIA[],2,0),"")</f>
        <v/>
      </c>
      <c r="T308" s="13" t="str">
        <f>_xlfn.IFNA(VLOOKUP(Tabla3[[#This Row],[Que]],QUE[#All],2,0),"")</f>
        <v>LL</v>
      </c>
      <c r="U308" s="13" t="str">
        <f>_xlfn.IFNA(VLOOKUP(Tabla3[[#This Row],[Señal]],SEÑAL[#All],2,0),"")</f>
        <v/>
      </c>
      <c r="V308" s="13" t="str">
        <f>_xlfn.IFNA(VLOOKUP(Tabla3[[#This Row],[NUMERO]],SEÑAL[#All],2,0),"")</f>
        <v/>
      </c>
    </row>
    <row r="309" spans="1:22" x14ac:dyDescent="0.25">
      <c r="A309" s="26" t="s">
        <v>1103</v>
      </c>
      <c r="B309" s="2" t="s">
        <v>8</v>
      </c>
      <c r="C309" s="2" t="s">
        <v>89</v>
      </c>
      <c r="D309" s="2" t="s">
        <v>109</v>
      </c>
      <c r="E309" s="2" t="s">
        <v>1381</v>
      </c>
      <c r="F309" s="2" t="s">
        <v>14</v>
      </c>
      <c r="G309" s="2" t="s">
        <v>859</v>
      </c>
      <c r="I309" s="2" t="s">
        <v>863</v>
      </c>
      <c r="J309"/>
      <c r="K309"/>
      <c r="L30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ETVMN.TR3.389B_VCDO</v>
      </c>
      <c r="N309" s="13" t="str">
        <f>VLOOKUP(Tabla3[[#This Row],[Tipo]],TIPO[#All],2,0)</f>
        <v>ET</v>
      </c>
      <c r="O309" s="13" t="str">
        <f>VLOOKUP(Tabla3[[#This Row],[Lugar]],LUGAR[#All],2,0)</f>
        <v>VMN</v>
      </c>
      <c r="P309" s="13" t="str">
        <f>Tabla3[[#This Row],[SIGLAS]]</f>
        <v>TR3</v>
      </c>
      <c r="Q309" s="13">
        <f>_xlfn.IFNA(VLOOKUP(Tabla3[[#This Row],[Nivel de tension]],NIVEL[#All],2,0),"")</f>
        <v>3</v>
      </c>
      <c r="R309" s="13" t="str">
        <f>_xlfn.IFNA(VLOOKUP(Tabla3[[#This Row],[DISPOSITIVO]],DISPOSITIVO[],2,0),"")</f>
        <v>89B_</v>
      </c>
      <c r="S309" s="13" t="str">
        <f>_xlfn.IFNA(VLOOKUP(Tabla3[[#This Row],[PROTECCION SECUNDARIA]],PROTECCION_SECUNDARIA[],2,0),"")</f>
        <v/>
      </c>
      <c r="T309" s="13" t="str">
        <f>_xlfn.IFNA(VLOOKUP(Tabla3[[#This Row],[Que]],QUE[#All],2,0),"")</f>
        <v>VCDO</v>
      </c>
      <c r="U309" s="13" t="str">
        <f>_xlfn.IFNA(VLOOKUP(Tabla3[[#This Row],[Señal]],SEÑAL[#All],2,0),"")</f>
        <v/>
      </c>
      <c r="V309" s="13" t="str">
        <f>_xlfn.IFNA(VLOOKUP(Tabla3[[#This Row],[NUMERO]],SEÑAL[#All],2,0),"")</f>
        <v/>
      </c>
    </row>
    <row r="310" spans="1:22" x14ac:dyDescent="0.25">
      <c r="A310" s="26" t="s">
        <v>1104</v>
      </c>
      <c r="B310" s="2" t="s">
        <v>8</v>
      </c>
      <c r="C310" s="2" t="s">
        <v>89</v>
      </c>
      <c r="D310" s="2" t="s">
        <v>109</v>
      </c>
      <c r="E310" s="2" t="s">
        <v>1381</v>
      </c>
      <c r="F310" s="2" t="s">
        <v>3</v>
      </c>
      <c r="J310"/>
      <c r="K310"/>
      <c r="L31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ETVMN.TR3.1</v>
      </c>
      <c r="N310" s="13" t="str">
        <f>VLOOKUP(Tabla3[[#This Row],[Tipo]],TIPO[#All],2,0)</f>
        <v>ET</v>
      </c>
      <c r="O310" s="13" t="str">
        <f>VLOOKUP(Tabla3[[#This Row],[Lugar]],LUGAR[#All],2,0)</f>
        <v>VMN</v>
      </c>
      <c r="P310" s="13" t="str">
        <f>Tabla3[[#This Row],[SIGLAS]]</f>
        <v>TR3</v>
      </c>
      <c r="Q310" s="13">
        <f>_xlfn.IFNA(VLOOKUP(Tabla3[[#This Row],[Nivel de tension]],NIVEL[#All],2,0),"")</f>
        <v>1</v>
      </c>
      <c r="R310" s="13" t="str">
        <f>_xlfn.IFNA(VLOOKUP(Tabla3[[#This Row],[DISPOSITIVO]],DISPOSITIVO[],2,0),"")</f>
        <v/>
      </c>
      <c r="S310" s="13" t="str">
        <f>_xlfn.IFNA(VLOOKUP(Tabla3[[#This Row],[PROTECCION SECUNDARIA]],PROTECCION_SECUNDARIA[],2,0),"")</f>
        <v/>
      </c>
      <c r="T310" s="13" t="str">
        <f>_xlfn.IFNA(VLOOKUP(Tabla3[[#This Row],[Que]],QUE[#All],2,0),"")</f>
        <v/>
      </c>
      <c r="U310" s="13" t="str">
        <f>_xlfn.IFNA(VLOOKUP(Tabla3[[#This Row],[Señal]],SEÑAL[#All],2,0),"")</f>
        <v/>
      </c>
      <c r="V310" s="13" t="str">
        <f>_xlfn.IFNA(VLOOKUP(Tabla3[[#This Row],[NUMERO]],SEÑAL[#All],2,0),"")</f>
        <v/>
      </c>
    </row>
    <row r="311" spans="1:22" x14ac:dyDescent="0.25">
      <c r="A311" s="26" t="s">
        <v>1105</v>
      </c>
      <c r="B311" s="2" t="s">
        <v>8</v>
      </c>
      <c r="C311" s="2" t="s">
        <v>89</v>
      </c>
      <c r="D311" s="2" t="s">
        <v>109</v>
      </c>
      <c r="E311" s="2" t="s">
        <v>1381</v>
      </c>
      <c r="J311"/>
      <c r="K311"/>
      <c r="L31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1" s="13" t="str">
        <f>VLOOKUP(Tabla3[[#This Row],[Tipo]],TIPO[#All],2,0)</f>
        <v>ET</v>
      </c>
      <c r="O311" s="13" t="str">
        <f>VLOOKUP(Tabla3[[#This Row],[Lugar]],LUGAR[#All],2,0)</f>
        <v>VMN</v>
      </c>
      <c r="P311" s="13" t="str">
        <f>Tabla3[[#This Row],[SIGLAS]]</f>
        <v>TR3</v>
      </c>
      <c r="Q311" s="13" t="str">
        <f>_xlfn.IFNA(VLOOKUP(Tabla3[[#This Row],[Nivel de tension]],NIVEL[#All],2,0),"")</f>
        <v/>
      </c>
      <c r="R311" s="13" t="str">
        <f>_xlfn.IFNA(VLOOKUP(Tabla3[[#This Row],[DISPOSITIVO]],DISPOSITIVO[],2,0),"")</f>
        <v/>
      </c>
      <c r="S311" s="13" t="str">
        <f>_xlfn.IFNA(VLOOKUP(Tabla3[[#This Row],[PROTECCION SECUNDARIA]],PROTECCION_SECUNDARIA[],2,0),"")</f>
        <v/>
      </c>
      <c r="T311" s="13" t="str">
        <f>_xlfn.IFNA(VLOOKUP(Tabla3[[#This Row],[Que]],QUE[#All],2,0),"")</f>
        <v/>
      </c>
      <c r="U311" s="13" t="str">
        <f>_xlfn.IFNA(VLOOKUP(Tabla3[[#This Row],[Señal]],SEÑAL[#All],2,0),"")</f>
        <v/>
      </c>
      <c r="V311" s="13" t="str">
        <f>_xlfn.IFNA(VLOOKUP(Tabla3[[#This Row],[NUMERO]],SEÑAL[#All],2,0),"")</f>
        <v/>
      </c>
    </row>
    <row r="312" spans="1:22" x14ac:dyDescent="0.25">
      <c r="A312" s="26" t="s">
        <v>1106</v>
      </c>
      <c r="B312" s="2" t="s">
        <v>8</v>
      </c>
      <c r="C312" s="2" t="s">
        <v>89</v>
      </c>
      <c r="D312" s="2" t="s">
        <v>109</v>
      </c>
      <c r="E312" s="2" t="s">
        <v>1381</v>
      </c>
      <c r="J312"/>
      <c r="K312"/>
      <c r="L31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2" s="13" t="str">
        <f>VLOOKUP(Tabla3[[#This Row],[Tipo]],TIPO[#All],2,0)</f>
        <v>ET</v>
      </c>
      <c r="O312" s="13" t="str">
        <f>VLOOKUP(Tabla3[[#This Row],[Lugar]],LUGAR[#All],2,0)</f>
        <v>VMN</v>
      </c>
      <c r="P312" s="13" t="str">
        <f>Tabla3[[#This Row],[SIGLAS]]</f>
        <v>TR3</v>
      </c>
      <c r="Q312" s="13" t="str">
        <f>_xlfn.IFNA(VLOOKUP(Tabla3[[#This Row],[Nivel de tension]],NIVEL[#All],2,0),"")</f>
        <v/>
      </c>
      <c r="R312" s="13" t="str">
        <f>_xlfn.IFNA(VLOOKUP(Tabla3[[#This Row],[DISPOSITIVO]],DISPOSITIVO[],2,0),"")</f>
        <v/>
      </c>
      <c r="S312" s="13" t="str">
        <f>_xlfn.IFNA(VLOOKUP(Tabla3[[#This Row],[PROTECCION SECUNDARIA]],PROTECCION_SECUNDARIA[],2,0),"")</f>
        <v/>
      </c>
      <c r="T312" s="13" t="str">
        <f>_xlfn.IFNA(VLOOKUP(Tabla3[[#This Row],[Que]],QUE[#All],2,0),"")</f>
        <v/>
      </c>
      <c r="U312" s="13" t="str">
        <f>_xlfn.IFNA(VLOOKUP(Tabla3[[#This Row],[Señal]],SEÑAL[#All],2,0),"")</f>
        <v/>
      </c>
      <c r="V312" s="13" t="str">
        <f>_xlfn.IFNA(VLOOKUP(Tabla3[[#This Row],[NUMERO]],SEÑAL[#All],2,0),"")</f>
        <v/>
      </c>
    </row>
    <row r="313" spans="1:22" x14ac:dyDescent="0.25">
      <c r="A313" s="26" t="s">
        <v>1107</v>
      </c>
      <c r="B313" s="2" t="s">
        <v>8</v>
      </c>
      <c r="C313" s="2" t="s">
        <v>89</v>
      </c>
      <c r="D313" s="2" t="s">
        <v>109</v>
      </c>
      <c r="E313" s="2" t="s">
        <v>1381</v>
      </c>
      <c r="J313"/>
      <c r="K313"/>
      <c r="L31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3" s="13" t="str">
        <f>VLOOKUP(Tabla3[[#This Row],[Tipo]],TIPO[#All],2,0)</f>
        <v>ET</v>
      </c>
      <c r="O313" s="13" t="str">
        <f>VLOOKUP(Tabla3[[#This Row],[Lugar]],LUGAR[#All],2,0)</f>
        <v>VMN</v>
      </c>
      <c r="P313" s="13" t="str">
        <f>Tabla3[[#This Row],[SIGLAS]]</f>
        <v>TR3</v>
      </c>
      <c r="Q313" s="13" t="str">
        <f>_xlfn.IFNA(VLOOKUP(Tabla3[[#This Row],[Nivel de tension]],NIVEL[#All],2,0),"")</f>
        <v/>
      </c>
      <c r="R313" s="13" t="str">
        <f>_xlfn.IFNA(VLOOKUP(Tabla3[[#This Row],[DISPOSITIVO]],DISPOSITIVO[],2,0),"")</f>
        <v/>
      </c>
      <c r="S313" s="13" t="str">
        <f>_xlfn.IFNA(VLOOKUP(Tabla3[[#This Row],[PROTECCION SECUNDARIA]],PROTECCION_SECUNDARIA[],2,0),"")</f>
        <v/>
      </c>
      <c r="T313" s="13" t="str">
        <f>_xlfn.IFNA(VLOOKUP(Tabla3[[#This Row],[Que]],QUE[#All],2,0),"")</f>
        <v/>
      </c>
      <c r="U313" s="13" t="str">
        <f>_xlfn.IFNA(VLOOKUP(Tabla3[[#This Row],[Señal]],SEÑAL[#All],2,0),"")</f>
        <v/>
      </c>
      <c r="V313" s="13" t="str">
        <f>_xlfn.IFNA(VLOOKUP(Tabla3[[#This Row],[NUMERO]],SEÑAL[#All],2,0),"")</f>
        <v/>
      </c>
    </row>
    <row r="314" spans="1:22" x14ac:dyDescent="0.25">
      <c r="A314" s="26" t="s">
        <v>1108</v>
      </c>
      <c r="B314" s="2" t="s">
        <v>8</v>
      </c>
      <c r="C314" s="2" t="s">
        <v>89</v>
      </c>
      <c r="D314" s="2" t="s">
        <v>109</v>
      </c>
      <c r="E314" s="2" t="s">
        <v>1381</v>
      </c>
      <c r="J314"/>
      <c r="K314"/>
      <c r="L31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4" s="13" t="str">
        <f>VLOOKUP(Tabla3[[#This Row],[Tipo]],TIPO[#All],2,0)</f>
        <v>ET</v>
      </c>
      <c r="O314" s="13" t="str">
        <f>VLOOKUP(Tabla3[[#This Row],[Lugar]],LUGAR[#All],2,0)</f>
        <v>VMN</v>
      </c>
      <c r="P314" s="13" t="str">
        <f>Tabla3[[#This Row],[SIGLAS]]</f>
        <v>TR3</v>
      </c>
      <c r="Q314" s="13" t="str">
        <f>_xlfn.IFNA(VLOOKUP(Tabla3[[#This Row],[Nivel de tension]],NIVEL[#All],2,0),"")</f>
        <v/>
      </c>
      <c r="R314" s="13" t="str">
        <f>_xlfn.IFNA(VLOOKUP(Tabla3[[#This Row],[DISPOSITIVO]],DISPOSITIVO[],2,0),"")</f>
        <v/>
      </c>
      <c r="S314" s="13" t="str">
        <f>_xlfn.IFNA(VLOOKUP(Tabla3[[#This Row],[PROTECCION SECUNDARIA]],PROTECCION_SECUNDARIA[],2,0),"")</f>
        <v/>
      </c>
      <c r="T314" s="13" t="str">
        <f>_xlfn.IFNA(VLOOKUP(Tabla3[[#This Row],[Que]],QUE[#All],2,0),"")</f>
        <v/>
      </c>
      <c r="U314" s="13" t="str">
        <f>_xlfn.IFNA(VLOOKUP(Tabla3[[#This Row],[Señal]],SEÑAL[#All],2,0),"")</f>
        <v/>
      </c>
      <c r="V314" s="13" t="str">
        <f>_xlfn.IFNA(VLOOKUP(Tabla3[[#This Row],[NUMERO]],SEÑAL[#All],2,0),"")</f>
        <v/>
      </c>
    </row>
    <row r="315" spans="1:22" x14ac:dyDescent="0.25">
      <c r="A315" s="26" t="s">
        <v>1109</v>
      </c>
      <c r="B315" s="2" t="s">
        <v>8</v>
      </c>
      <c r="C315" s="2" t="s">
        <v>89</v>
      </c>
      <c r="D315" s="2" t="s">
        <v>109</v>
      </c>
      <c r="E315" s="2" t="s">
        <v>1381</v>
      </c>
      <c r="J315"/>
      <c r="K315"/>
      <c r="L31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5" s="13" t="str">
        <f>VLOOKUP(Tabla3[[#This Row],[Tipo]],TIPO[#All],2,0)</f>
        <v>ET</v>
      </c>
      <c r="O315" s="13" t="str">
        <f>VLOOKUP(Tabla3[[#This Row],[Lugar]],LUGAR[#All],2,0)</f>
        <v>VMN</v>
      </c>
      <c r="P315" s="13" t="str">
        <f>Tabla3[[#This Row],[SIGLAS]]</f>
        <v>TR3</v>
      </c>
      <c r="Q315" s="13" t="str">
        <f>_xlfn.IFNA(VLOOKUP(Tabla3[[#This Row],[Nivel de tension]],NIVEL[#All],2,0),"")</f>
        <v/>
      </c>
      <c r="R315" s="13" t="str">
        <f>_xlfn.IFNA(VLOOKUP(Tabla3[[#This Row],[DISPOSITIVO]],DISPOSITIVO[],2,0),"")</f>
        <v/>
      </c>
      <c r="S315" s="13" t="str">
        <f>_xlfn.IFNA(VLOOKUP(Tabla3[[#This Row],[PROTECCION SECUNDARIA]],PROTECCION_SECUNDARIA[],2,0),"")</f>
        <v/>
      </c>
      <c r="T315" s="13" t="str">
        <f>_xlfn.IFNA(VLOOKUP(Tabla3[[#This Row],[Que]],QUE[#All],2,0),"")</f>
        <v/>
      </c>
      <c r="U315" s="13" t="str">
        <f>_xlfn.IFNA(VLOOKUP(Tabla3[[#This Row],[Señal]],SEÑAL[#All],2,0),"")</f>
        <v/>
      </c>
      <c r="V315" s="13" t="str">
        <f>_xlfn.IFNA(VLOOKUP(Tabla3[[#This Row],[NUMERO]],SEÑAL[#All],2,0),"")</f>
        <v/>
      </c>
    </row>
    <row r="316" spans="1:22" x14ac:dyDescent="0.25">
      <c r="A316" s="26" t="s">
        <v>1110</v>
      </c>
      <c r="B316" s="2" t="s">
        <v>8</v>
      </c>
      <c r="C316" s="2" t="s">
        <v>89</v>
      </c>
      <c r="D316" s="2" t="s">
        <v>109</v>
      </c>
      <c r="E316" s="2" t="s">
        <v>1381</v>
      </c>
      <c r="J316"/>
      <c r="K316"/>
      <c r="L31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6" s="13" t="str">
        <f>VLOOKUP(Tabla3[[#This Row],[Tipo]],TIPO[#All],2,0)</f>
        <v>ET</v>
      </c>
      <c r="O316" s="13" t="str">
        <f>VLOOKUP(Tabla3[[#This Row],[Lugar]],LUGAR[#All],2,0)</f>
        <v>VMN</v>
      </c>
      <c r="P316" s="13" t="str">
        <f>Tabla3[[#This Row],[SIGLAS]]</f>
        <v>TR3</v>
      </c>
      <c r="Q316" s="13" t="str">
        <f>_xlfn.IFNA(VLOOKUP(Tabla3[[#This Row],[Nivel de tension]],NIVEL[#All],2,0),"")</f>
        <v/>
      </c>
      <c r="R316" s="13" t="str">
        <f>_xlfn.IFNA(VLOOKUP(Tabla3[[#This Row],[DISPOSITIVO]],DISPOSITIVO[],2,0),"")</f>
        <v/>
      </c>
      <c r="S316" s="13" t="str">
        <f>_xlfn.IFNA(VLOOKUP(Tabla3[[#This Row],[PROTECCION SECUNDARIA]],PROTECCION_SECUNDARIA[],2,0),"")</f>
        <v/>
      </c>
      <c r="T316" s="13" t="str">
        <f>_xlfn.IFNA(VLOOKUP(Tabla3[[#This Row],[Que]],QUE[#All],2,0),"")</f>
        <v/>
      </c>
      <c r="U316" s="13" t="str">
        <f>_xlfn.IFNA(VLOOKUP(Tabla3[[#This Row],[Señal]],SEÑAL[#All],2,0),"")</f>
        <v/>
      </c>
      <c r="V316" s="13" t="str">
        <f>_xlfn.IFNA(VLOOKUP(Tabla3[[#This Row],[NUMERO]],SEÑAL[#All],2,0),"")</f>
        <v/>
      </c>
    </row>
    <row r="317" spans="1:22" x14ac:dyDescent="0.25">
      <c r="A317" s="26" t="s">
        <v>1111</v>
      </c>
      <c r="B317" s="2" t="s">
        <v>8</v>
      </c>
      <c r="C317" s="2" t="s">
        <v>89</v>
      </c>
      <c r="D317" s="2" t="s">
        <v>109</v>
      </c>
      <c r="E317" s="2" t="s">
        <v>1381</v>
      </c>
      <c r="J317"/>
      <c r="K317"/>
      <c r="L31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7" s="13" t="str">
        <f>VLOOKUP(Tabla3[[#This Row],[Tipo]],TIPO[#All],2,0)</f>
        <v>ET</v>
      </c>
      <c r="O317" s="13" t="str">
        <f>VLOOKUP(Tabla3[[#This Row],[Lugar]],LUGAR[#All],2,0)</f>
        <v>VMN</v>
      </c>
      <c r="P317" s="13" t="str">
        <f>Tabla3[[#This Row],[SIGLAS]]</f>
        <v>TR3</v>
      </c>
      <c r="Q317" s="13" t="str">
        <f>_xlfn.IFNA(VLOOKUP(Tabla3[[#This Row],[Nivel de tension]],NIVEL[#All],2,0),"")</f>
        <v/>
      </c>
      <c r="R317" s="13" t="str">
        <f>_xlfn.IFNA(VLOOKUP(Tabla3[[#This Row],[DISPOSITIVO]],DISPOSITIVO[],2,0),"")</f>
        <v/>
      </c>
      <c r="S317" s="13" t="str">
        <f>_xlfn.IFNA(VLOOKUP(Tabla3[[#This Row],[PROTECCION SECUNDARIA]],PROTECCION_SECUNDARIA[],2,0),"")</f>
        <v/>
      </c>
      <c r="T317" s="13" t="str">
        <f>_xlfn.IFNA(VLOOKUP(Tabla3[[#This Row],[Que]],QUE[#All],2,0),"")</f>
        <v/>
      </c>
      <c r="U317" s="13" t="str">
        <f>_xlfn.IFNA(VLOOKUP(Tabla3[[#This Row],[Señal]],SEÑAL[#All],2,0),"")</f>
        <v/>
      </c>
      <c r="V317" s="13" t="str">
        <f>_xlfn.IFNA(VLOOKUP(Tabla3[[#This Row],[NUMERO]],SEÑAL[#All],2,0),"")</f>
        <v/>
      </c>
    </row>
    <row r="318" spans="1:22" x14ac:dyDescent="0.25">
      <c r="A318" s="26" t="s">
        <v>1112</v>
      </c>
      <c r="B318" s="2" t="s">
        <v>8</v>
      </c>
      <c r="C318" s="2" t="s">
        <v>89</v>
      </c>
      <c r="D318" s="2" t="s">
        <v>109</v>
      </c>
      <c r="E318" s="2" t="s">
        <v>1381</v>
      </c>
      <c r="J318"/>
      <c r="K318"/>
      <c r="L31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8" s="13" t="str">
        <f>VLOOKUP(Tabla3[[#This Row],[Tipo]],TIPO[#All],2,0)</f>
        <v>ET</v>
      </c>
      <c r="O318" s="13" t="str">
        <f>VLOOKUP(Tabla3[[#This Row],[Lugar]],LUGAR[#All],2,0)</f>
        <v>VMN</v>
      </c>
      <c r="P318" s="13" t="str">
        <f>Tabla3[[#This Row],[SIGLAS]]</f>
        <v>TR3</v>
      </c>
      <c r="Q318" s="13" t="str">
        <f>_xlfn.IFNA(VLOOKUP(Tabla3[[#This Row],[Nivel de tension]],NIVEL[#All],2,0),"")</f>
        <v/>
      </c>
      <c r="R318" s="13" t="str">
        <f>_xlfn.IFNA(VLOOKUP(Tabla3[[#This Row],[DISPOSITIVO]],DISPOSITIVO[],2,0),"")</f>
        <v/>
      </c>
      <c r="S318" s="13" t="str">
        <f>_xlfn.IFNA(VLOOKUP(Tabla3[[#This Row],[PROTECCION SECUNDARIA]],PROTECCION_SECUNDARIA[],2,0),"")</f>
        <v/>
      </c>
      <c r="T318" s="13" t="str">
        <f>_xlfn.IFNA(VLOOKUP(Tabla3[[#This Row],[Que]],QUE[#All],2,0),"")</f>
        <v/>
      </c>
      <c r="U318" s="13" t="str">
        <f>_xlfn.IFNA(VLOOKUP(Tabla3[[#This Row],[Señal]],SEÑAL[#All],2,0),"")</f>
        <v/>
      </c>
      <c r="V318" s="13" t="str">
        <f>_xlfn.IFNA(VLOOKUP(Tabla3[[#This Row],[NUMERO]],SEÑAL[#All],2,0),"")</f>
        <v/>
      </c>
    </row>
    <row r="319" spans="1:22" x14ac:dyDescent="0.25">
      <c r="A319" s="26" t="s">
        <v>1113</v>
      </c>
      <c r="B319" s="2" t="s">
        <v>8</v>
      </c>
      <c r="C319" s="2" t="s">
        <v>89</v>
      </c>
      <c r="D319" s="2" t="s">
        <v>109</v>
      </c>
      <c r="E319" s="2" t="s">
        <v>1381</v>
      </c>
      <c r="J319"/>
      <c r="K319"/>
      <c r="L31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19" s="13" t="str">
        <f>VLOOKUP(Tabla3[[#This Row],[Tipo]],TIPO[#All],2,0)</f>
        <v>ET</v>
      </c>
      <c r="O319" s="13" t="str">
        <f>VLOOKUP(Tabla3[[#This Row],[Lugar]],LUGAR[#All],2,0)</f>
        <v>VMN</v>
      </c>
      <c r="P319" s="13" t="str">
        <f>Tabla3[[#This Row],[SIGLAS]]</f>
        <v>TR3</v>
      </c>
      <c r="Q319" s="13" t="str">
        <f>_xlfn.IFNA(VLOOKUP(Tabla3[[#This Row],[Nivel de tension]],NIVEL[#All],2,0),"")</f>
        <v/>
      </c>
      <c r="R319" s="13" t="str">
        <f>_xlfn.IFNA(VLOOKUP(Tabla3[[#This Row],[DISPOSITIVO]],DISPOSITIVO[],2,0),"")</f>
        <v/>
      </c>
      <c r="S319" s="13" t="str">
        <f>_xlfn.IFNA(VLOOKUP(Tabla3[[#This Row],[PROTECCION SECUNDARIA]],PROTECCION_SECUNDARIA[],2,0),"")</f>
        <v/>
      </c>
      <c r="T319" s="13" t="str">
        <f>_xlfn.IFNA(VLOOKUP(Tabla3[[#This Row],[Que]],QUE[#All],2,0),"")</f>
        <v/>
      </c>
      <c r="U319" s="13" t="str">
        <f>_xlfn.IFNA(VLOOKUP(Tabla3[[#This Row],[Señal]],SEÑAL[#All],2,0),"")</f>
        <v/>
      </c>
      <c r="V319" s="13" t="str">
        <f>_xlfn.IFNA(VLOOKUP(Tabla3[[#This Row],[NUMERO]],SEÑAL[#All],2,0),"")</f>
        <v/>
      </c>
    </row>
    <row r="320" spans="1:22" x14ac:dyDescent="0.25">
      <c r="A320" s="26" t="s">
        <v>1114</v>
      </c>
      <c r="B320" s="2" t="s">
        <v>8</v>
      </c>
      <c r="C320" s="2" t="s">
        <v>89</v>
      </c>
      <c r="D320" s="2" t="s">
        <v>109</v>
      </c>
      <c r="E320" s="2" t="s">
        <v>1381</v>
      </c>
      <c r="J320"/>
      <c r="K320"/>
      <c r="L32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0" s="13" t="str">
        <f>VLOOKUP(Tabla3[[#This Row],[Tipo]],TIPO[#All],2,0)</f>
        <v>ET</v>
      </c>
      <c r="O320" s="13" t="str">
        <f>VLOOKUP(Tabla3[[#This Row],[Lugar]],LUGAR[#All],2,0)</f>
        <v>VMN</v>
      </c>
      <c r="P320" s="13" t="str">
        <f>Tabla3[[#This Row],[SIGLAS]]</f>
        <v>TR3</v>
      </c>
      <c r="Q320" s="13" t="str">
        <f>_xlfn.IFNA(VLOOKUP(Tabla3[[#This Row],[Nivel de tension]],NIVEL[#All],2,0),"")</f>
        <v/>
      </c>
      <c r="R320" s="13" t="str">
        <f>_xlfn.IFNA(VLOOKUP(Tabla3[[#This Row],[DISPOSITIVO]],DISPOSITIVO[],2,0),"")</f>
        <v/>
      </c>
      <c r="S320" s="13" t="str">
        <f>_xlfn.IFNA(VLOOKUP(Tabla3[[#This Row],[PROTECCION SECUNDARIA]],PROTECCION_SECUNDARIA[],2,0),"")</f>
        <v/>
      </c>
      <c r="T320" s="13" t="str">
        <f>_xlfn.IFNA(VLOOKUP(Tabla3[[#This Row],[Que]],QUE[#All],2,0),"")</f>
        <v/>
      </c>
      <c r="U320" s="13" t="str">
        <f>_xlfn.IFNA(VLOOKUP(Tabla3[[#This Row],[Señal]],SEÑAL[#All],2,0),"")</f>
        <v/>
      </c>
      <c r="V320" s="13" t="str">
        <f>_xlfn.IFNA(VLOOKUP(Tabla3[[#This Row],[NUMERO]],SEÑAL[#All],2,0),"")</f>
        <v/>
      </c>
    </row>
    <row r="321" spans="1:22" x14ac:dyDescent="0.25">
      <c r="A321" s="26" t="s">
        <v>1115</v>
      </c>
      <c r="B321" s="2" t="s">
        <v>8</v>
      </c>
      <c r="C321" s="2" t="s">
        <v>89</v>
      </c>
      <c r="D321" s="2" t="s">
        <v>109</v>
      </c>
      <c r="E321" s="2" t="s">
        <v>1381</v>
      </c>
      <c r="J321"/>
      <c r="K321"/>
      <c r="L32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1" s="13" t="str">
        <f>VLOOKUP(Tabla3[[#This Row],[Tipo]],TIPO[#All],2,0)</f>
        <v>ET</v>
      </c>
      <c r="O321" s="13" t="str">
        <f>VLOOKUP(Tabla3[[#This Row],[Lugar]],LUGAR[#All],2,0)</f>
        <v>VMN</v>
      </c>
      <c r="P321" s="13" t="str">
        <f>Tabla3[[#This Row],[SIGLAS]]</f>
        <v>TR3</v>
      </c>
      <c r="Q321" s="13" t="str">
        <f>_xlfn.IFNA(VLOOKUP(Tabla3[[#This Row],[Nivel de tension]],NIVEL[#All],2,0),"")</f>
        <v/>
      </c>
      <c r="R321" s="13" t="str">
        <f>_xlfn.IFNA(VLOOKUP(Tabla3[[#This Row],[DISPOSITIVO]],DISPOSITIVO[],2,0),"")</f>
        <v/>
      </c>
      <c r="S321" s="13" t="str">
        <f>_xlfn.IFNA(VLOOKUP(Tabla3[[#This Row],[PROTECCION SECUNDARIA]],PROTECCION_SECUNDARIA[],2,0),"")</f>
        <v/>
      </c>
      <c r="T321" s="13" t="str">
        <f>_xlfn.IFNA(VLOOKUP(Tabla3[[#This Row],[Que]],QUE[#All],2,0),"")</f>
        <v/>
      </c>
      <c r="U321" s="13" t="str">
        <f>_xlfn.IFNA(VLOOKUP(Tabla3[[#This Row],[Señal]],SEÑAL[#All],2,0),"")</f>
        <v/>
      </c>
      <c r="V321" s="13" t="str">
        <f>_xlfn.IFNA(VLOOKUP(Tabla3[[#This Row],[NUMERO]],SEÑAL[#All],2,0),"")</f>
        <v/>
      </c>
    </row>
    <row r="322" spans="1:22" x14ac:dyDescent="0.25">
      <c r="A322" s="26" t="s">
        <v>1116</v>
      </c>
      <c r="B322" s="2" t="s">
        <v>8</v>
      </c>
      <c r="C322" s="2" t="s">
        <v>89</v>
      </c>
      <c r="D322" s="2" t="s">
        <v>109</v>
      </c>
      <c r="E322" s="2" t="s">
        <v>1381</v>
      </c>
      <c r="J322"/>
      <c r="K322"/>
      <c r="L32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2" s="13" t="str">
        <f>VLOOKUP(Tabla3[[#This Row],[Tipo]],TIPO[#All],2,0)</f>
        <v>ET</v>
      </c>
      <c r="O322" s="13" t="str">
        <f>VLOOKUP(Tabla3[[#This Row],[Lugar]],LUGAR[#All],2,0)</f>
        <v>VMN</v>
      </c>
      <c r="P322" s="13" t="str">
        <f>Tabla3[[#This Row],[SIGLAS]]</f>
        <v>TR3</v>
      </c>
      <c r="Q322" s="13" t="str">
        <f>_xlfn.IFNA(VLOOKUP(Tabla3[[#This Row],[Nivel de tension]],NIVEL[#All],2,0),"")</f>
        <v/>
      </c>
      <c r="R322" s="13" t="str">
        <f>_xlfn.IFNA(VLOOKUP(Tabla3[[#This Row],[DISPOSITIVO]],DISPOSITIVO[],2,0),"")</f>
        <v/>
      </c>
      <c r="S322" s="13" t="str">
        <f>_xlfn.IFNA(VLOOKUP(Tabla3[[#This Row],[PROTECCION SECUNDARIA]],PROTECCION_SECUNDARIA[],2,0),"")</f>
        <v/>
      </c>
      <c r="T322" s="13" t="str">
        <f>_xlfn.IFNA(VLOOKUP(Tabla3[[#This Row],[Que]],QUE[#All],2,0),"")</f>
        <v/>
      </c>
      <c r="U322" s="13" t="str">
        <f>_xlfn.IFNA(VLOOKUP(Tabla3[[#This Row],[Señal]],SEÑAL[#All],2,0),"")</f>
        <v/>
      </c>
      <c r="V322" s="13" t="str">
        <f>_xlfn.IFNA(VLOOKUP(Tabla3[[#This Row],[NUMERO]],SEÑAL[#All],2,0),"")</f>
        <v/>
      </c>
    </row>
    <row r="323" spans="1:22" x14ac:dyDescent="0.25">
      <c r="A323" s="26" t="s">
        <v>1117</v>
      </c>
      <c r="B323" s="2" t="s">
        <v>8</v>
      </c>
      <c r="C323" s="2" t="s">
        <v>89</v>
      </c>
      <c r="D323" s="2" t="s">
        <v>109</v>
      </c>
      <c r="E323" s="2" t="s">
        <v>1381</v>
      </c>
      <c r="J323"/>
      <c r="K323"/>
      <c r="L32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3" s="13" t="str">
        <f>VLOOKUP(Tabla3[[#This Row],[Tipo]],TIPO[#All],2,0)</f>
        <v>ET</v>
      </c>
      <c r="O323" s="13" t="str">
        <f>VLOOKUP(Tabla3[[#This Row],[Lugar]],LUGAR[#All],2,0)</f>
        <v>VMN</v>
      </c>
      <c r="P323" s="13" t="str">
        <f>Tabla3[[#This Row],[SIGLAS]]</f>
        <v>TR3</v>
      </c>
      <c r="Q323" s="13" t="str">
        <f>_xlfn.IFNA(VLOOKUP(Tabla3[[#This Row],[Nivel de tension]],NIVEL[#All],2,0),"")</f>
        <v/>
      </c>
      <c r="R323" s="13" t="str">
        <f>_xlfn.IFNA(VLOOKUP(Tabla3[[#This Row],[DISPOSITIVO]],DISPOSITIVO[],2,0),"")</f>
        <v/>
      </c>
      <c r="S323" s="13" t="str">
        <f>_xlfn.IFNA(VLOOKUP(Tabla3[[#This Row],[PROTECCION SECUNDARIA]],PROTECCION_SECUNDARIA[],2,0),"")</f>
        <v/>
      </c>
      <c r="T323" s="13" t="str">
        <f>_xlfn.IFNA(VLOOKUP(Tabla3[[#This Row],[Que]],QUE[#All],2,0),"")</f>
        <v/>
      </c>
      <c r="U323" s="13" t="str">
        <f>_xlfn.IFNA(VLOOKUP(Tabla3[[#This Row],[Señal]],SEÑAL[#All],2,0),"")</f>
        <v/>
      </c>
      <c r="V323" s="13" t="str">
        <f>_xlfn.IFNA(VLOOKUP(Tabla3[[#This Row],[NUMERO]],SEÑAL[#All],2,0),"")</f>
        <v/>
      </c>
    </row>
    <row r="324" spans="1:22" x14ac:dyDescent="0.25">
      <c r="A324" s="26" t="s">
        <v>1118</v>
      </c>
      <c r="B324" s="2" t="s">
        <v>8</v>
      </c>
      <c r="C324" s="2" t="s">
        <v>89</v>
      </c>
      <c r="D324" s="2" t="s">
        <v>109</v>
      </c>
      <c r="E324" s="2" t="s">
        <v>1381</v>
      </c>
      <c r="J324"/>
      <c r="K324"/>
      <c r="L32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4" s="13" t="str">
        <f>VLOOKUP(Tabla3[[#This Row],[Tipo]],TIPO[#All],2,0)</f>
        <v>ET</v>
      </c>
      <c r="O324" s="13" t="str">
        <f>VLOOKUP(Tabla3[[#This Row],[Lugar]],LUGAR[#All],2,0)</f>
        <v>VMN</v>
      </c>
      <c r="P324" s="13" t="str">
        <f>Tabla3[[#This Row],[SIGLAS]]</f>
        <v>TR3</v>
      </c>
      <c r="Q324" s="13" t="str">
        <f>_xlfn.IFNA(VLOOKUP(Tabla3[[#This Row],[Nivel de tension]],NIVEL[#All],2,0),"")</f>
        <v/>
      </c>
      <c r="R324" s="13" t="str">
        <f>_xlfn.IFNA(VLOOKUP(Tabla3[[#This Row],[DISPOSITIVO]],DISPOSITIVO[],2,0),"")</f>
        <v/>
      </c>
      <c r="S324" s="13" t="str">
        <f>_xlfn.IFNA(VLOOKUP(Tabla3[[#This Row],[PROTECCION SECUNDARIA]],PROTECCION_SECUNDARIA[],2,0),"")</f>
        <v/>
      </c>
      <c r="T324" s="13" t="str">
        <f>_xlfn.IFNA(VLOOKUP(Tabla3[[#This Row],[Que]],QUE[#All],2,0),"")</f>
        <v/>
      </c>
      <c r="U324" s="13" t="str">
        <f>_xlfn.IFNA(VLOOKUP(Tabla3[[#This Row],[Señal]],SEÑAL[#All],2,0),"")</f>
        <v/>
      </c>
      <c r="V324" s="13" t="str">
        <f>_xlfn.IFNA(VLOOKUP(Tabla3[[#This Row],[NUMERO]],SEÑAL[#All],2,0),"")</f>
        <v/>
      </c>
    </row>
    <row r="325" spans="1:22" x14ac:dyDescent="0.25">
      <c r="A325" s="26" t="s">
        <v>1119</v>
      </c>
      <c r="B325" s="2" t="s">
        <v>8</v>
      </c>
      <c r="C325" s="2" t="s">
        <v>89</v>
      </c>
      <c r="D325" s="2" t="s">
        <v>109</v>
      </c>
      <c r="E325" s="2" t="s">
        <v>1381</v>
      </c>
      <c r="J325"/>
      <c r="K325"/>
      <c r="L32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5" s="13" t="str">
        <f>VLOOKUP(Tabla3[[#This Row],[Tipo]],TIPO[#All],2,0)</f>
        <v>ET</v>
      </c>
      <c r="O325" s="13" t="str">
        <f>VLOOKUP(Tabla3[[#This Row],[Lugar]],LUGAR[#All],2,0)</f>
        <v>VMN</v>
      </c>
      <c r="P325" s="13" t="str">
        <f>Tabla3[[#This Row],[SIGLAS]]</f>
        <v>TR3</v>
      </c>
      <c r="Q325" s="13" t="str">
        <f>_xlfn.IFNA(VLOOKUP(Tabla3[[#This Row],[Nivel de tension]],NIVEL[#All],2,0),"")</f>
        <v/>
      </c>
      <c r="R325" s="13" t="str">
        <f>_xlfn.IFNA(VLOOKUP(Tabla3[[#This Row],[DISPOSITIVO]],DISPOSITIVO[],2,0),"")</f>
        <v/>
      </c>
      <c r="S325" s="13" t="str">
        <f>_xlfn.IFNA(VLOOKUP(Tabla3[[#This Row],[PROTECCION SECUNDARIA]],PROTECCION_SECUNDARIA[],2,0),"")</f>
        <v/>
      </c>
      <c r="T325" s="13" t="str">
        <f>_xlfn.IFNA(VLOOKUP(Tabla3[[#This Row],[Que]],QUE[#All],2,0),"")</f>
        <v/>
      </c>
      <c r="U325" s="13" t="str">
        <f>_xlfn.IFNA(VLOOKUP(Tabla3[[#This Row],[Señal]],SEÑAL[#All],2,0),"")</f>
        <v/>
      </c>
      <c r="V325" s="13" t="str">
        <f>_xlfn.IFNA(VLOOKUP(Tabla3[[#This Row],[NUMERO]],SEÑAL[#All],2,0),"")</f>
        <v/>
      </c>
    </row>
    <row r="326" spans="1:22" x14ac:dyDescent="0.25">
      <c r="A326" s="26" t="s">
        <v>1120</v>
      </c>
      <c r="B326" s="2" t="s">
        <v>8</v>
      </c>
      <c r="C326" s="2" t="s">
        <v>89</v>
      </c>
      <c r="D326" s="2" t="s">
        <v>109</v>
      </c>
      <c r="E326" s="2" t="s">
        <v>1381</v>
      </c>
      <c r="J326"/>
      <c r="K326"/>
      <c r="L32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6" s="13" t="str">
        <f>VLOOKUP(Tabla3[[#This Row],[Tipo]],TIPO[#All],2,0)</f>
        <v>ET</v>
      </c>
      <c r="O326" s="13" t="str">
        <f>VLOOKUP(Tabla3[[#This Row],[Lugar]],LUGAR[#All],2,0)</f>
        <v>VMN</v>
      </c>
      <c r="P326" s="13" t="str">
        <f>Tabla3[[#This Row],[SIGLAS]]</f>
        <v>TR3</v>
      </c>
      <c r="Q326" s="13" t="str">
        <f>_xlfn.IFNA(VLOOKUP(Tabla3[[#This Row],[Nivel de tension]],NIVEL[#All],2,0),"")</f>
        <v/>
      </c>
      <c r="R326" s="13" t="str">
        <f>_xlfn.IFNA(VLOOKUP(Tabla3[[#This Row],[DISPOSITIVO]],DISPOSITIVO[],2,0),"")</f>
        <v/>
      </c>
      <c r="S326" s="13" t="str">
        <f>_xlfn.IFNA(VLOOKUP(Tabla3[[#This Row],[PROTECCION SECUNDARIA]],PROTECCION_SECUNDARIA[],2,0),"")</f>
        <v/>
      </c>
      <c r="T326" s="13" t="str">
        <f>_xlfn.IFNA(VLOOKUP(Tabla3[[#This Row],[Que]],QUE[#All],2,0),"")</f>
        <v/>
      </c>
      <c r="U326" s="13" t="str">
        <f>_xlfn.IFNA(VLOOKUP(Tabla3[[#This Row],[Señal]],SEÑAL[#All],2,0),"")</f>
        <v/>
      </c>
      <c r="V326" s="13" t="str">
        <f>_xlfn.IFNA(VLOOKUP(Tabla3[[#This Row],[NUMERO]],SEÑAL[#All],2,0),"")</f>
        <v/>
      </c>
    </row>
    <row r="327" spans="1:22" x14ac:dyDescent="0.25">
      <c r="A327" s="26" t="s">
        <v>1121</v>
      </c>
      <c r="B327" s="2" t="s">
        <v>8</v>
      </c>
      <c r="C327" s="2" t="s">
        <v>89</v>
      </c>
      <c r="D327" s="2" t="s">
        <v>109</v>
      </c>
      <c r="E327" s="2" t="s">
        <v>1381</v>
      </c>
      <c r="J327"/>
      <c r="K327"/>
      <c r="L32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7" s="13" t="str">
        <f>VLOOKUP(Tabla3[[#This Row],[Tipo]],TIPO[#All],2,0)</f>
        <v>ET</v>
      </c>
      <c r="O327" s="13" t="str">
        <f>VLOOKUP(Tabla3[[#This Row],[Lugar]],LUGAR[#All],2,0)</f>
        <v>VMN</v>
      </c>
      <c r="P327" s="13" t="str">
        <f>Tabla3[[#This Row],[SIGLAS]]</f>
        <v>TR3</v>
      </c>
      <c r="Q327" s="13" t="str">
        <f>_xlfn.IFNA(VLOOKUP(Tabla3[[#This Row],[Nivel de tension]],NIVEL[#All],2,0),"")</f>
        <v/>
      </c>
      <c r="R327" s="13" t="str">
        <f>_xlfn.IFNA(VLOOKUP(Tabla3[[#This Row],[DISPOSITIVO]],DISPOSITIVO[],2,0),"")</f>
        <v/>
      </c>
      <c r="S327" s="13" t="str">
        <f>_xlfn.IFNA(VLOOKUP(Tabla3[[#This Row],[PROTECCION SECUNDARIA]],PROTECCION_SECUNDARIA[],2,0),"")</f>
        <v/>
      </c>
      <c r="T327" s="13" t="str">
        <f>_xlfn.IFNA(VLOOKUP(Tabla3[[#This Row],[Que]],QUE[#All],2,0),"")</f>
        <v/>
      </c>
      <c r="U327" s="13" t="str">
        <f>_xlfn.IFNA(VLOOKUP(Tabla3[[#This Row],[Señal]],SEÑAL[#All],2,0),"")</f>
        <v/>
      </c>
      <c r="V327" s="13" t="str">
        <f>_xlfn.IFNA(VLOOKUP(Tabla3[[#This Row],[NUMERO]],SEÑAL[#All],2,0),"")</f>
        <v/>
      </c>
    </row>
    <row r="328" spans="1:22" x14ac:dyDescent="0.25">
      <c r="A328" s="26" t="s">
        <v>1122</v>
      </c>
      <c r="B328" s="2" t="s">
        <v>8</v>
      </c>
      <c r="C328" s="2" t="s">
        <v>89</v>
      </c>
      <c r="D328" s="2" t="s">
        <v>109</v>
      </c>
      <c r="E328" s="2" t="s">
        <v>1381</v>
      </c>
      <c r="J328"/>
      <c r="K328"/>
      <c r="L32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8" s="13" t="str">
        <f>VLOOKUP(Tabla3[[#This Row],[Tipo]],TIPO[#All],2,0)</f>
        <v>ET</v>
      </c>
      <c r="O328" s="13" t="str">
        <f>VLOOKUP(Tabla3[[#This Row],[Lugar]],LUGAR[#All],2,0)</f>
        <v>VMN</v>
      </c>
      <c r="P328" s="13" t="str">
        <f>Tabla3[[#This Row],[SIGLAS]]</f>
        <v>TR3</v>
      </c>
      <c r="Q328" s="13" t="str">
        <f>_xlfn.IFNA(VLOOKUP(Tabla3[[#This Row],[Nivel de tension]],NIVEL[#All],2,0),"")</f>
        <v/>
      </c>
      <c r="R328" s="13" t="str">
        <f>_xlfn.IFNA(VLOOKUP(Tabla3[[#This Row],[DISPOSITIVO]],DISPOSITIVO[],2,0),"")</f>
        <v/>
      </c>
      <c r="S328" s="13" t="str">
        <f>_xlfn.IFNA(VLOOKUP(Tabla3[[#This Row],[PROTECCION SECUNDARIA]],PROTECCION_SECUNDARIA[],2,0),"")</f>
        <v/>
      </c>
      <c r="T328" s="13" t="str">
        <f>_xlfn.IFNA(VLOOKUP(Tabla3[[#This Row],[Que]],QUE[#All],2,0),"")</f>
        <v/>
      </c>
      <c r="U328" s="13" t="str">
        <f>_xlfn.IFNA(VLOOKUP(Tabla3[[#This Row],[Señal]],SEÑAL[#All],2,0),"")</f>
        <v/>
      </c>
      <c r="V328" s="13" t="str">
        <f>_xlfn.IFNA(VLOOKUP(Tabla3[[#This Row],[NUMERO]],SEÑAL[#All],2,0),"")</f>
        <v/>
      </c>
    </row>
    <row r="329" spans="1:22" x14ac:dyDescent="0.25">
      <c r="A329" s="26" t="s">
        <v>1123</v>
      </c>
      <c r="B329" s="2" t="s">
        <v>8</v>
      </c>
      <c r="C329" s="2" t="s">
        <v>89</v>
      </c>
      <c r="D329" s="2" t="s">
        <v>109</v>
      </c>
      <c r="E329" s="2" t="s">
        <v>1381</v>
      </c>
      <c r="J329"/>
      <c r="K329"/>
      <c r="L32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29" s="13" t="str">
        <f>VLOOKUP(Tabla3[[#This Row],[Tipo]],TIPO[#All],2,0)</f>
        <v>ET</v>
      </c>
      <c r="O329" s="13" t="str">
        <f>VLOOKUP(Tabla3[[#This Row],[Lugar]],LUGAR[#All],2,0)</f>
        <v>VMN</v>
      </c>
      <c r="P329" s="13" t="str">
        <f>Tabla3[[#This Row],[SIGLAS]]</f>
        <v>TR3</v>
      </c>
      <c r="Q329" s="13" t="str">
        <f>_xlfn.IFNA(VLOOKUP(Tabla3[[#This Row],[Nivel de tension]],NIVEL[#All],2,0),"")</f>
        <v/>
      </c>
      <c r="R329" s="13" t="str">
        <f>_xlfn.IFNA(VLOOKUP(Tabla3[[#This Row],[DISPOSITIVO]],DISPOSITIVO[],2,0),"")</f>
        <v/>
      </c>
      <c r="S329" s="13" t="str">
        <f>_xlfn.IFNA(VLOOKUP(Tabla3[[#This Row],[PROTECCION SECUNDARIA]],PROTECCION_SECUNDARIA[],2,0),"")</f>
        <v/>
      </c>
      <c r="T329" s="13" t="str">
        <f>_xlfn.IFNA(VLOOKUP(Tabla3[[#This Row],[Que]],QUE[#All],2,0),"")</f>
        <v/>
      </c>
      <c r="U329" s="13" t="str">
        <f>_xlfn.IFNA(VLOOKUP(Tabla3[[#This Row],[Señal]],SEÑAL[#All],2,0),"")</f>
        <v/>
      </c>
      <c r="V329" s="13" t="str">
        <f>_xlfn.IFNA(VLOOKUP(Tabla3[[#This Row],[NUMERO]],SEÑAL[#All],2,0),"")</f>
        <v/>
      </c>
    </row>
    <row r="330" spans="1:22" x14ac:dyDescent="0.25">
      <c r="A330" s="26" t="s">
        <v>1124</v>
      </c>
      <c r="B330" s="2" t="s">
        <v>8</v>
      </c>
      <c r="C330" s="2" t="s">
        <v>89</v>
      </c>
      <c r="D330" s="2" t="s">
        <v>109</v>
      </c>
      <c r="E330" s="2" t="s">
        <v>1381</v>
      </c>
      <c r="J330"/>
      <c r="K330"/>
      <c r="L33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0" s="13" t="str">
        <f>VLOOKUP(Tabla3[[#This Row],[Tipo]],TIPO[#All],2,0)</f>
        <v>ET</v>
      </c>
      <c r="O330" s="13" t="str">
        <f>VLOOKUP(Tabla3[[#This Row],[Lugar]],LUGAR[#All],2,0)</f>
        <v>VMN</v>
      </c>
      <c r="P330" s="13" t="str">
        <f>Tabla3[[#This Row],[SIGLAS]]</f>
        <v>TR3</v>
      </c>
      <c r="Q330" s="13" t="str">
        <f>_xlfn.IFNA(VLOOKUP(Tabla3[[#This Row],[Nivel de tension]],NIVEL[#All],2,0),"")</f>
        <v/>
      </c>
      <c r="R330" s="13" t="str">
        <f>_xlfn.IFNA(VLOOKUP(Tabla3[[#This Row],[DISPOSITIVO]],DISPOSITIVO[],2,0),"")</f>
        <v/>
      </c>
      <c r="S330" s="13" t="str">
        <f>_xlfn.IFNA(VLOOKUP(Tabla3[[#This Row],[PROTECCION SECUNDARIA]],PROTECCION_SECUNDARIA[],2,0),"")</f>
        <v/>
      </c>
      <c r="T330" s="13" t="str">
        <f>_xlfn.IFNA(VLOOKUP(Tabla3[[#This Row],[Que]],QUE[#All],2,0),"")</f>
        <v/>
      </c>
      <c r="U330" s="13" t="str">
        <f>_xlfn.IFNA(VLOOKUP(Tabla3[[#This Row],[Señal]],SEÑAL[#All],2,0),"")</f>
        <v/>
      </c>
      <c r="V330" s="13" t="str">
        <f>_xlfn.IFNA(VLOOKUP(Tabla3[[#This Row],[NUMERO]],SEÑAL[#All],2,0),"")</f>
        <v/>
      </c>
    </row>
    <row r="331" spans="1:22" x14ac:dyDescent="0.25">
      <c r="A331" s="26" t="s">
        <v>1125</v>
      </c>
      <c r="B331" s="2" t="s">
        <v>8</v>
      </c>
      <c r="C331" s="2" t="s">
        <v>89</v>
      </c>
      <c r="D331" s="2" t="s">
        <v>109</v>
      </c>
      <c r="E331" s="2" t="s">
        <v>1381</v>
      </c>
      <c r="J331"/>
      <c r="K331"/>
      <c r="L33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1" s="13" t="str">
        <f>VLOOKUP(Tabla3[[#This Row],[Tipo]],TIPO[#All],2,0)</f>
        <v>ET</v>
      </c>
      <c r="O331" s="13" t="str">
        <f>VLOOKUP(Tabla3[[#This Row],[Lugar]],LUGAR[#All],2,0)</f>
        <v>VMN</v>
      </c>
      <c r="P331" s="13" t="str">
        <f>Tabla3[[#This Row],[SIGLAS]]</f>
        <v>TR3</v>
      </c>
      <c r="Q331" s="13" t="str">
        <f>_xlfn.IFNA(VLOOKUP(Tabla3[[#This Row],[Nivel de tension]],NIVEL[#All],2,0),"")</f>
        <v/>
      </c>
      <c r="R331" s="13" t="str">
        <f>_xlfn.IFNA(VLOOKUP(Tabla3[[#This Row],[DISPOSITIVO]],DISPOSITIVO[],2,0),"")</f>
        <v/>
      </c>
      <c r="S331" s="13" t="str">
        <f>_xlfn.IFNA(VLOOKUP(Tabla3[[#This Row],[PROTECCION SECUNDARIA]],PROTECCION_SECUNDARIA[],2,0),"")</f>
        <v/>
      </c>
      <c r="T331" s="13" t="str">
        <f>_xlfn.IFNA(VLOOKUP(Tabla3[[#This Row],[Que]],QUE[#All],2,0),"")</f>
        <v/>
      </c>
      <c r="U331" s="13" t="str">
        <f>_xlfn.IFNA(VLOOKUP(Tabla3[[#This Row],[Señal]],SEÑAL[#All],2,0),"")</f>
        <v/>
      </c>
      <c r="V331" s="13" t="str">
        <f>_xlfn.IFNA(VLOOKUP(Tabla3[[#This Row],[NUMERO]],SEÑAL[#All],2,0),"")</f>
        <v/>
      </c>
    </row>
    <row r="332" spans="1:22" x14ac:dyDescent="0.25">
      <c r="A332" s="26" t="s">
        <v>1126</v>
      </c>
      <c r="B332" s="2" t="s">
        <v>8</v>
      </c>
      <c r="C332" s="2" t="s">
        <v>89</v>
      </c>
      <c r="D332" s="2" t="s">
        <v>109</v>
      </c>
      <c r="E332" s="2" t="s">
        <v>1381</v>
      </c>
      <c r="J332"/>
      <c r="K332"/>
      <c r="L33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2" s="13" t="str">
        <f>VLOOKUP(Tabla3[[#This Row],[Tipo]],TIPO[#All],2,0)</f>
        <v>ET</v>
      </c>
      <c r="O332" s="13" t="str">
        <f>VLOOKUP(Tabla3[[#This Row],[Lugar]],LUGAR[#All],2,0)</f>
        <v>VMN</v>
      </c>
      <c r="P332" s="13" t="str">
        <f>Tabla3[[#This Row],[SIGLAS]]</f>
        <v>TR3</v>
      </c>
      <c r="Q332" s="13" t="str">
        <f>_xlfn.IFNA(VLOOKUP(Tabla3[[#This Row],[Nivel de tension]],NIVEL[#All],2,0),"")</f>
        <v/>
      </c>
      <c r="R332" s="13" t="str">
        <f>_xlfn.IFNA(VLOOKUP(Tabla3[[#This Row],[DISPOSITIVO]],DISPOSITIVO[],2,0),"")</f>
        <v/>
      </c>
      <c r="S332" s="13" t="str">
        <f>_xlfn.IFNA(VLOOKUP(Tabla3[[#This Row],[PROTECCION SECUNDARIA]],PROTECCION_SECUNDARIA[],2,0),"")</f>
        <v/>
      </c>
      <c r="T332" s="13" t="str">
        <f>_xlfn.IFNA(VLOOKUP(Tabla3[[#This Row],[Que]],QUE[#All],2,0),"")</f>
        <v/>
      </c>
      <c r="U332" s="13" t="str">
        <f>_xlfn.IFNA(VLOOKUP(Tabla3[[#This Row],[Señal]],SEÑAL[#All],2,0),"")</f>
        <v/>
      </c>
      <c r="V332" s="13" t="str">
        <f>_xlfn.IFNA(VLOOKUP(Tabla3[[#This Row],[NUMERO]],SEÑAL[#All],2,0),"")</f>
        <v/>
      </c>
    </row>
    <row r="333" spans="1:22" x14ac:dyDescent="0.25">
      <c r="A333" s="26" t="s">
        <v>1127</v>
      </c>
      <c r="B333" s="2" t="s">
        <v>8</v>
      </c>
      <c r="C333" s="2" t="s">
        <v>89</v>
      </c>
      <c r="D333" s="2" t="s">
        <v>109</v>
      </c>
      <c r="E333" s="2" t="s">
        <v>1381</v>
      </c>
      <c r="J333"/>
      <c r="K333"/>
      <c r="L33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3" s="13" t="str">
        <f>VLOOKUP(Tabla3[[#This Row],[Tipo]],TIPO[#All],2,0)</f>
        <v>ET</v>
      </c>
      <c r="O333" s="13" t="str">
        <f>VLOOKUP(Tabla3[[#This Row],[Lugar]],LUGAR[#All],2,0)</f>
        <v>VMN</v>
      </c>
      <c r="P333" s="13" t="str">
        <f>Tabla3[[#This Row],[SIGLAS]]</f>
        <v>TR3</v>
      </c>
      <c r="Q333" s="13" t="str">
        <f>_xlfn.IFNA(VLOOKUP(Tabla3[[#This Row],[Nivel de tension]],NIVEL[#All],2,0),"")</f>
        <v/>
      </c>
      <c r="R333" s="13" t="str">
        <f>_xlfn.IFNA(VLOOKUP(Tabla3[[#This Row],[DISPOSITIVO]],DISPOSITIVO[],2,0),"")</f>
        <v/>
      </c>
      <c r="S333" s="13" t="str">
        <f>_xlfn.IFNA(VLOOKUP(Tabla3[[#This Row],[PROTECCION SECUNDARIA]],PROTECCION_SECUNDARIA[],2,0),"")</f>
        <v/>
      </c>
      <c r="T333" s="13" t="str">
        <f>_xlfn.IFNA(VLOOKUP(Tabla3[[#This Row],[Que]],QUE[#All],2,0),"")</f>
        <v/>
      </c>
      <c r="U333" s="13" t="str">
        <f>_xlfn.IFNA(VLOOKUP(Tabla3[[#This Row],[Señal]],SEÑAL[#All],2,0),"")</f>
        <v/>
      </c>
      <c r="V333" s="13" t="str">
        <f>_xlfn.IFNA(VLOOKUP(Tabla3[[#This Row],[NUMERO]],SEÑAL[#All],2,0),"")</f>
        <v/>
      </c>
    </row>
    <row r="334" spans="1:22" x14ac:dyDescent="0.25">
      <c r="A334" s="26" t="s">
        <v>1128</v>
      </c>
      <c r="B334" s="2" t="s">
        <v>8</v>
      </c>
      <c r="C334" s="2" t="s">
        <v>89</v>
      </c>
      <c r="D334" s="2" t="s">
        <v>109</v>
      </c>
      <c r="E334" s="2" t="s">
        <v>1381</v>
      </c>
      <c r="J334"/>
      <c r="K334"/>
      <c r="L33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4" s="13" t="str">
        <f>VLOOKUP(Tabla3[[#This Row],[Tipo]],TIPO[#All],2,0)</f>
        <v>ET</v>
      </c>
      <c r="O334" s="13" t="str">
        <f>VLOOKUP(Tabla3[[#This Row],[Lugar]],LUGAR[#All],2,0)</f>
        <v>VMN</v>
      </c>
      <c r="P334" s="13" t="str">
        <f>Tabla3[[#This Row],[SIGLAS]]</f>
        <v>TR3</v>
      </c>
      <c r="Q334" s="13" t="str">
        <f>_xlfn.IFNA(VLOOKUP(Tabla3[[#This Row],[Nivel de tension]],NIVEL[#All],2,0),"")</f>
        <v/>
      </c>
      <c r="R334" s="13" t="str">
        <f>_xlfn.IFNA(VLOOKUP(Tabla3[[#This Row],[DISPOSITIVO]],DISPOSITIVO[],2,0),"")</f>
        <v/>
      </c>
      <c r="S334" s="13" t="str">
        <f>_xlfn.IFNA(VLOOKUP(Tabla3[[#This Row],[PROTECCION SECUNDARIA]],PROTECCION_SECUNDARIA[],2,0),"")</f>
        <v/>
      </c>
      <c r="T334" s="13" t="str">
        <f>_xlfn.IFNA(VLOOKUP(Tabla3[[#This Row],[Que]],QUE[#All],2,0),"")</f>
        <v/>
      </c>
      <c r="U334" s="13" t="str">
        <f>_xlfn.IFNA(VLOOKUP(Tabla3[[#This Row],[Señal]],SEÑAL[#All],2,0),"")</f>
        <v/>
      </c>
      <c r="V334" s="13" t="str">
        <f>_xlfn.IFNA(VLOOKUP(Tabla3[[#This Row],[NUMERO]],SEÑAL[#All],2,0),"")</f>
        <v/>
      </c>
    </row>
    <row r="335" spans="1:22" x14ac:dyDescent="0.25">
      <c r="A335" s="26" t="s">
        <v>1129</v>
      </c>
      <c r="B335" s="2" t="s">
        <v>8</v>
      </c>
      <c r="C335" s="2" t="s">
        <v>89</v>
      </c>
      <c r="D335" s="2" t="s">
        <v>109</v>
      </c>
      <c r="E335" s="2" t="s">
        <v>1381</v>
      </c>
      <c r="J335"/>
      <c r="K335"/>
      <c r="L33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5" s="13" t="str">
        <f>VLOOKUP(Tabla3[[#This Row],[Tipo]],TIPO[#All],2,0)</f>
        <v>ET</v>
      </c>
      <c r="O335" s="13" t="str">
        <f>VLOOKUP(Tabla3[[#This Row],[Lugar]],LUGAR[#All],2,0)</f>
        <v>VMN</v>
      </c>
      <c r="P335" s="13" t="str">
        <f>Tabla3[[#This Row],[SIGLAS]]</f>
        <v>TR3</v>
      </c>
      <c r="Q335" s="13" t="str">
        <f>_xlfn.IFNA(VLOOKUP(Tabla3[[#This Row],[Nivel de tension]],NIVEL[#All],2,0),"")</f>
        <v/>
      </c>
      <c r="R335" s="13" t="str">
        <f>_xlfn.IFNA(VLOOKUP(Tabla3[[#This Row],[DISPOSITIVO]],DISPOSITIVO[],2,0),"")</f>
        <v/>
      </c>
      <c r="S335" s="13" t="str">
        <f>_xlfn.IFNA(VLOOKUP(Tabla3[[#This Row],[PROTECCION SECUNDARIA]],PROTECCION_SECUNDARIA[],2,0),"")</f>
        <v/>
      </c>
      <c r="T335" s="13" t="str">
        <f>_xlfn.IFNA(VLOOKUP(Tabla3[[#This Row],[Que]],QUE[#All],2,0),"")</f>
        <v/>
      </c>
      <c r="U335" s="13" t="str">
        <f>_xlfn.IFNA(VLOOKUP(Tabla3[[#This Row],[Señal]],SEÑAL[#All],2,0),"")</f>
        <v/>
      </c>
      <c r="V335" s="13" t="str">
        <f>_xlfn.IFNA(VLOOKUP(Tabla3[[#This Row],[NUMERO]],SEÑAL[#All],2,0),"")</f>
        <v/>
      </c>
    </row>
    <row r="336" spans="1:22" x14ac:dyDescent="0.25">
      <c r="A336" s="26" t="s">
        <v>1130</v>
      </c>
      <c r="B336" s="2" t="s">
        <v>8</v>
      </c>
      <c r="C336" s="2" t="s">
        <v>89</v>
      </c>
      <c r="D336" s="2" t="s">
        <v>109</v>
      </c>
      <c r="E336" s="2" t="s">
        <v>1381</v>
      </c>
      <c r="J336"/>
      <c r="K336"/>
      <c r="L33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6" s="13" t="str">
        <f>VLOOKUP(Tabla3[[#This Row],[Tipo]],TIPO[#All],2,0)</f>
        <v>ET</v>
      </c>
      <c r="O336" s="13" t="str">
        <f>VLOOKUP(Tabla3[[#This Row],[Lugar]],LUGAR[#All],2,0)</f>
        <v>VMN</v>
      </c>
      <c r="P336" s="13" t="str">
        <f>Tabla3[[#This Row],[SIGLAS]]</f>
        <v>TR3</v>
      </c>
      <c r="Q336" s="13" t="str">
        <f>_xlfn.IFNA(VLOOKUP(Tabla3[[#This Row],[Nivel de tension]],NIVEL[#All],2,0),"")</f>
        <v/>
      </c>
      <c r="R336" s="13" t="str">
        <f>_xlfn.IFNA(VLOOKUP(Tabla3[[#This Row],[DISPOSITIVO]],DISPOSITIVO[],2,0),"")</f>
        <v/>
      </c>
      <c r="S336" s="13" t="str">
        <f>_xlfn.IFNA(VLOOKUP(Tabla3[[#This Row],[PROTECCION SECUNDARIA]],PROTECCION_SECUNDARIA[],2,0),"")</f>
        <v/>
      </c>
      <c r="T336" s="13" t="str">
        <f>_xlfn.IFNA(VLOOKUP(Tabla3[[#This Row],[Que]],QUE[#All],2,0),"")</f>
        <v/>
      </c>
      <c r="U336" s="13" t="str">
        <f>_xlfn.IFNA(VLOOKUP(Tabla3[[#This Row],[Señal]],SEÑAL[#All],2,0),"")</f>
        <v/>
      </c>
      <c r="V336" s="13" t="str">
        <f>_xlfn.IFNA(VLOOKUP(Tabla3[[#This Row],[NUMERO]],SEÑAL[#All],2,0),"")</f>
        <v/>
      </c>
    </row>
    <row r="337" spans="1:22" x14ac:dyDescent="0.25">
      <c r="A337" s="26" t="s">
        <v>1131</v>
      </c>
      <c r="B337" s="2" t="s">
        <v>8</v>
      </c>
      <c r="C337" s="2" t="s">
        <v>89</v>
      </c>
      <c r="D337" s="2" t="s">
        <v>109</v>
      </c>
      <c r="E337" s="2" t="s">
        <v>1381</v>
      </c>
      <c r="J337"/>
      <c r="K337"/>
      <c r="L33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7" s="13" t="str">
        <f>VLOOKUP(Tabla3[[#This Row],[Tipo]],TIPO[#All],2,0)</f>
        <v>ET</v>
      </c>
      <c r="O337" s="13" t="str">
        <f>VLOOKUP(Tabla3[[#This Row],[Lugar]],LUGAR[#All],2,0)</f>
        <v>VMN</v>
      </c>
      <c r="P337" s="13" t="str">
        <f>Tabla3[[#This Row],[SIGLAS]]</f>
        <v>TR3</v>
      </c>
      <c r="Q337" s="13" t="str">
        <f>_xlfn.IFNA(VLOOKUP(Tabla3[[#This Row],[Nivel de tension]],NIVEL[#All],2,0),"")</f>
        <v/>
      </c>
      <c r="R337" s="13" t="str">
        <f>_xlfn.IFNA(VLOOKUP(Tabla3[[#This Row],[DISPOSITIVO]],DISPOSITIVO[],2,0),"")</f>
        <v/>
      </c>
      <c r="S337" s="13" t="str">
        <f>_xlfn.IFNA(VLOOKUP(Tabla3[[#This Row],[PROTECCION SECUNDARIA]],PROTECCION_SECUNDARIA[],2,0),"")</f>
        <v/>
      </c>
      <c r="T337" s="13" t="str">
        <f>_xlfn.IFNA(VLOOKUP(Tabla3[[#This Row],[Que]],QUE[#All],2,0),"")</f>
        <v/>
      </c>
      <c r="U337" s="13" t="str">
        <f>_xlfn.IFNA(VLOOKUP(Tabla3[[#This Row],[Señal]],SEÑAL[#All],2,0),"")</f>
        <v/>
      </c>
      <c r="V337" s="13" t="str">
        <f>_xlfn.IFNA(VLOOKUP(Tabla3[[#This Row],[NUMERO]],SEÑAL[#All],2,0),"")</f>
        <v/>
      </c>
    </row>
    <row r="338" spans="1:22" x14ac:dyDescent="0.25">
      <c r="A338" s="26" t="s">
        <v>1132</v>
      </c>
      <c r="B338" s="2" t="s">
        <v>8</v>
      </c>
      <c r="C338" s="2" t="s">
        <v>89</v>
      </c>
      <c r="D338" s="2" t="s">
        <v>109</v>
      </c>
      <c r="E338" s="2" t="s">
        <v>1381</v>
      </c>
      <c r="J338"/>
      <c r="K338"/>
      <c r="L33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8" s="13" t="str">
        <f>VLOOKUP(Tabla3[[#This Row],[Tipo]],TIPO[#All],2,0)</f>
        <v>ET</v>
      </c>
      <c r="O338" s="13" t="str">
        <f>VLOOKUP(Tabla3[[#This Row],[Lugar]],LUGAR[#All],2,0)</f>
        <v>VMN</v>
      </c>
      <c r="P338" s="13" t="str">
        <f>Tabla3[[#This Row],[SIGLAS]]</f>
        <v>TR3</v>
      </c>
      <c r="Q338" s="13" t="str">
        <f>_xlfn.IFNA(VLOOKUP(Tabla3[[#This Row],[Nivel de tension]],NIVEL[#All],2,0),"")</f>
        <v/>
      </c>
      <c r="R338" s="13" t="str">
        <f>_xlfn.IFNA(VLOOKUP(Tabla3[[#This Row],[DISPOSITIVO]],DISPOSITIVO[],2,0),"")</f>
        <v/>
      </c>
      <c r="S338" s="13" t="str">
        <f>_xlfn.IFNA(VLOOKUP(Tabla3[[#This Row],[PROTECCION SECUNDARIA]],PROTECCION_SECUNDARIA[],2,0),"")</f>
        <v/>
      </c>
      <c r="T338" s="13" t="str">
        <f>_xlfn.IFNA(VLOOKUP(Tabla3[[#This Row],[Que]],QUE[#All],2,0),"")</f>
        <v/>
      </c>
      <c r="U338" s="13" t="str">
        <f>_xlfn.IFNA(VLOOKUP(Tabla3[[#This Row],[Señal]],SEÑAL[#All],2,0),"")</f>
        <v/>
      </c>
      <c r="V338" s="13" t="str">
        <f>_xlfn.IFNA(VLOOKUP(Tabla3[[#This Row],[NUMERO]],SEÑAL[#All],2,0),"")</f>
        <v/>
      </c>
    </row>
    <row r="339" spans="1:22" x14ac:dyDescent="0.25">
      <c r="A339" s="26" t="s">
        <v>1133</v>
      </c>
      <c r="B339" s="2" t="s">
        <v>8</v>
      </c>
      <c r="C339" s="2" t="s">
        <v>89</v>
      </c>
      <c r="D339" s="2" t="s">
        <v>109</v>
      </c>
      <c r="E339" s="2" t="s">
        <v>1381</v>
      </c>
      <c r="J339"/>
      <c r="K339"/>
      <c r="L33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39" s="13" t="str">
        <f>VLOOKUP(Tabla3[[#This Row],[Tipo]],TIPO[#All],2,0)</f>
        <v>ET</v>
      </c>
      <c r="O339" s="13" t="str">
        <f>VLOOKUP(Tabla3[[#This Row],[Lugar]],LUGAR[#All],2,0)</f>
        <v>VMN</v>
      </c>
      <c r="P339" s="13" t="str">
        <f>Tabla3[[#This Row],[SIGLAS]]</f>
        <v>TR3</v>
      </c>
      <c r="Q339" s="13" t="str">
        <f>_xlfn.IFNA(VLOOKUP(Tabla3[[#This Row],[Nivel de tension]],NIVEL[#All],2,0),"")</f>
        <v/>
      </c>
      <c r="R339" s="13" t="str">
        <f>_xlfn.IFNA(VLOOKUP(Tabla3[[#This Row],[DISPOSITIVO]],DISPOSITIVO[],2,0),"")</f>
        <v/>
      </c>
      <c r="S339" s="13" t="str">
        <f>_xlfn.IFNA(VLOOKUP(Tabla3[[#This Row],[PROTECCION SECUNDARIA]],PROTECCION_SECUNDARIA[],2,0),"")</f>
        <v/>
      </c>
      <c r="T339" s="13" t="str">
        <f>_xlfn.IFNA(VLOOKUP(Tabla3[[#This Row],[Que]],QUE[#All],2,0),"")</f>
        <v/>
      </c>
      <c r="U339" s="13" t="str">
        <f>_xlfn.IFNA(VLOOKUP(Tabla3[[#This Row],[Señal]],SEÑAL[#All],2,0),"")</f>
        <v/>
      </c>
      <c r="V339" s="13" t="str">
        <f>_xlfn.IFNA(VLOOKUP(Tabla3[[#This Row],[NUMERO]],SEÑAL[#All],2,0),"")</f>
        <v/>
      </c>
    </row>
    <row r="340" spans="1:22" x14ac:dyDescent="0.25">
      <c r="A340" s="26" t="s">
        <v>1134</v>
      </c>
      <c r="B340" s="2" t="s">
        <v>8</v>
      </c>
      <c r="C340" s="2" t="s">
        <v>89</v>
      </c>
      <c r="D340" s="2" t="s">
        <v>109</v>
      </c>
      <c r="E340" s="2" t="s">
        <v>1381</v>
      </c>
      <c r="J340"/>
      <c r="K340"/>
      <c r="L34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0" s="13" t="str">
        <f>VLOOKUP(Tabla3[[#This Row],[Tipo]],TIPO[#All],2,0)</f>
        <v>ET</v>
      </c>
      <c r="O340" s="13" t="str">
        <f>VLOOKUP(Tabla3[[#This Row],[Lugar]],LUGAR[#All],2,0)</f>
        <v>VMN</v>
      </c>
      <c r="P340" s="13" t="str">
        <f>Tabla3[[#This Row],[SIGLAS]]</f>
        <v>TR3</v>
      </c>
      <c r="Q340" s="13" t="str">
        <f>_xlfn.IFNA(VLOOKUP(Tabla3[[#This Row],[Nivel de tension]],NIVEL[#All],2,0),"")</f>
        <v/>
      </c>
      <c r="R340" s="13" t="str">
        <f>_xlfn.IFNA(VLOOKUP(Tabla3[[#This Row],[DISPOSITIVO]],DISPOSITIVO[],2,0),"")</f>
        <v/>
      </c>
      <c r="S340" s="13" t="str">
        <f>_xlfn.IFNA(VLOOKUP(Tabla3[[#This Row],[PROTECCION SECUNDARIA]],PROTECCION_SECUNDARIA[],2,0),"")</f>
        <v/>
      </c>
      <c r="T340" s="13" t="str">
        <f>_xlfn.IFNA(VLOOKUP(Tabla3[[#This Row],[Que]],QUE[#All],2,0),"")</f>
        <v/>
      </c>
      <c r="U340" s="13" t="str">
        <f>_xlfn.IFNA(VLOOKUP(Tabla3[[#This Row],[Señal]],SEÑAL[#All],2,0),"")</f>
        <v/>
      </c>
      <c r="V340" s="13" t="str">
        <f>_xlfn.IFNA(VLOOKUP(Tabla3[[#This Row],[NUMERO]],SEÑAL[#All],2,0),"")</f>
        <v/>
      </c>
    </row>
    <row r="341" spans="1:22" x14ac:dyDescent="0.25">
      <c r="A341" s="26" t="s">
        <v>1135</v>
      </c>
      <c r="B341" s="2" t="s">
        <v>8</v>
      </c>
      <c r="C341" s="2" t="s">
        <v>89</v>
      </c>
      <c r="D341" s="2" t="s">
        <v>109</v>
      </c>
      <c r="E341" s="2" t="s">
        <v>1381</v>
      </c>
      <c r="J341"/>
      <c r="K341"/>
      <c r="L34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1" s="13" t="str">
        <f>VLOOKUP(Tabla3[[#This Row],[Tipo]],TIPO[#All],2,0)</f>
        <v>ET</v>
      </c>
      <c r="O341" s="13" t="str">
        <f>VLOOKUP(Tabla3[[#This Row],[Lugar]],LUGAR[#All],2,0)</f>
        <v>VMN</v>
      </c>
      <c r="P341" s="13" t="str">
        <f>Tabla3[[#This Row],[SIGLAS]]</f>
        <v>TR3</v>
      </c>
      <c r="Q341" s="13" t="str">
        <f>_xlfn.IFNA(VLOOKUP(Tabla3[[#This Row],[Nivel de tension]],NIVEL[#All],2,0),"")</f>
        <v/>
      </c>
      <c r="R341" s="13" t="str">
        <f>_xlfn.IFNA(VLOOKUP(Tabla3[[#This Row],[DISPOSITIVO]],DISPOSITIVO[],2,0),"")</f>
        <v/>
      </c>
      <c r="S341" s="13" t="str">
        <f>_xlfn.IFNA(VLOOKUP(Tabla3[[#This Row],[PROTECCION SECUNDARIA]],PROTECCION_SECUNDARIA[],2,0),"")</f>
        <v/>
      </c>
      <c r="T341" s="13" t="str">
        <f>_xlfn.IFNA(VLOOKUP(Tabla3[[#This Row],[Que]],QUE[#All],2,0),"")</f>
        <v/>
      </c>
      <c r="U341" s="13" t="str">
        <f>_xlfn.IFNA(VLOOKUP(Tabla3[[#This Row],[Señal]],SEÑAL[#All],2,0),"")</f>
        <v/>
      </c>
      <c r="V341" s="13" t="str">
        <f>_xlfn.IFNA(VLOOKUP(Tabla3[[#This Row],[NUMERO]],SEÑAL[#All],2,0),"")</f>
        <v/>
      </c>
    </row>
    <row r="342" spans="1:22" x14ac:dyDescent="0.25">
      <c r="A342" s="26" t="s">
        <v>1136</v>
      </c>
      <c r="B342" s="2" t="s">
        <v>8</v>
      </c>
      <c r="C342" s="2" t="s">
        <v>89</v>
      </c>
      <c r="D342" s="2" t="s">
        <v>109</v>
      </c>
      <c r="E342" s="2" t="s">
        <v>1381</v>
      </c>
      <c r="J342"/>
      <c r="K342"/>
      <c r="L34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2" s="13" t="str">
        <f>VLOOKUP(Tabla3[[#This Row],[Tipo]],TIPO[#All],2,0)</f>
        <v>ET</v>
      </c>
      <c r="O342" s="13" t="str">
        <f>VLOOKUP(Tabla3[[#This Row],[Lugar]],LUGAR[#All],2,0)</f>
        <v>VMN</v>
      </c>
      <c r="P342" s="13" t="str">
        <f>Tabla3[[#This Row],[SIGLAS]]</f>
        <v>TR3</v>
      </c>
      <c r="Q342" s="13" t="str">
        <f>_xlfn.IFNA(VLOOKUP(Tabla3[[#This Row],[Nivel de tension]],NIVEL[#All],2,0),"")</f>
        <v/>
      </c>
      <c r="R342" s="13" t="str">
        <f>_xlfn.IFNA(VLOOKUP(Tabla3[[#This Row],[DISPOSITIVO]],DISPOSITIVO[],2,0),"")</f>
        <v/>
      </c>
      <c r="S342" s="13" t="str">
        <f>_xlfn.IFNA(VLOOKUP(Tabla3[[#This Row],[PROTECCION SECUNDARIA]],PROTECCION_SECUNDARIA[],2,0),"")</f>
        <v/>
      </c>
      <c r="T342" s="13" t="str">
        <f>_xlfn.IFNA(VLOOKUP(Tabla3[[#This Row],[Que]],QUE[#All],2,0),"")</f>
        <v/>
      </c>
      <c r="U342" s="13" t="str">
        <f>_xlfn.IFNA(VLOOKUP(Tabla3[[#This Row],[Señal]],SEÑAL[#All],2,0),"")</f>
        <v/>
      </c>
      <c r="V342" s="13" t="str">
        <f>_xlfn.IFNA(VLOOKUP(Tabla3[[#This Row],[NUMERO]],SEÑAL[#All],2,0),"")</f>
        <v/>
      </c>
    </row>
    <row r="343" spans="1:22" x14ac:dyDescent="0.25">
      <c r="A343" s="26" t="s">
        <v>1137</v>
      </c>
      <c r="B343" s="2" t="s">
        <v>8</v>
      </c>
      <c r="C343" s="2" t="s">
        <v>89</v>
      </c>
      <c r="D343" s="2" t="s">
        <v>109</v>
      </c>
      <c r="E343" s="2" t="s">
        <v>1381</v>
      </c>
      <c r="J343"/>
      <c r="K343"/>
      <c r="L34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3" s="13" t="str">
        <f>VLOOKUP(Tabla3[[#This Row],[Tipo]],TIPO[#All],2,0)</f>
        <v>ET</v>
      </c>
      <c r="O343" s="13" t="str">
        <f>VLOOKUP(Tabla3[[#This Row],[Lugar]],LUGAR[#All],2,0)</f>
        <v>VMN</v>
      </c>
      <c r="P343" s="13" t="str">
        <f>Tabla3[[#This Row],[SIGLAS]]</f>
        <v>TR3</v>
      </c>
      <c r="Q343" s="13" t="str">
        <f>_xlfn.IFNA(VLOOKUP(Tabla3[[#This Row],[Nivel de tension]],NIVEL[#All],2,0),"")</f>
        <v/>
      </c>
      <c r="R343" s="13" t="str">
        <f>_xlfn.IFNA(VLOOKUP(Tabla3[[#This Row],[DISPOSITIVO]],DISPOSITIVO[],2,0),"")</f>
        <v/>
      </c>
      <c r="S343" s="13" t="str">
        <f>_xlfn.IFNA(VLOOKUP(Tabla3[[#This Row],[PROTECCION SECUNDARIA]],PROTECCION_SECUNDARIA[],2,0),"")</f>
        <v/>
      </c>
      <c r="T343" s="13" t="str">
        <f>_xlfn.IFNA(VLOOKUP(Tabla3[[#This Row],[Que]],QUE[#All],2,0),"")</f>
        <v/>
      </c>
      <c r="U343" s="13" t="str">
        <f>_xlfn.IFNA(VLOOKUP(Tabla3[[#This Row],[Señal]],SEÑAL[#All],2,0),"")</f>
        <v/>
      </c>
      <c r="V343" s="13" t="str">
        <f>_xlfn.IFNA(VLOOKUP(Tabla3[[#This Row],[NUMERO]],SEÑAL[#All],2,0),"")</f>
        <v/>
      </c>
    </row>
    <row r="344" spans="1:22" x14ac:dyDescent="0.25">
      <c r="A344" s="26" t="s">
        <v>1138</v>
      </c>
      <c r="B344" s="2" t="s">
        <v>8</v>
      </c>
      <c r="C344" s="2" t="s">
        <v>89</v>
      </c>
      <c r="D344" s="2" t="s">
        <v>109</v>
      </c>
      <c r="E344" s="2" t="s">
        <v>1381</v>
      </c>
      <c r="J344"/>
      <c r="K344"/>
      <c r="L34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4" s="13" t="str">
        <f>VLOOKUP(Tabla3[[#This Row],[Tipo]],TIPO[#All],2,0)</f>
        <v>ET</v>
      </c>
      <c r="O344" s="13" t="str">
        <f>VLOOKUP(Tabla3[[#This Row],[Lugar]],LUGAR[#All],2,0)</f>
        <v>VMN</v>
      </c>
      <c r="P344" s="13" t="str">
        <f>Tabla3[[#This Row],[SIGLAS]]</f>
        <v>TR3</v>
      </c>
      <c r="Q344" s="13" t="str">
        <f>_xlfn.IFNA(VLOOKUP(Tabla3[[#This Row],[Nivel de tension]],NIVEL[#All],2,0),"")</f>
        <v/>
      </c>
      <c r="R344" s="13" t="str">
        <f>_xlfn.IFNA(VLOOKUP(Tabla3[[#This Row],[DISPOSITIVO]],DISPOSITIVO[],2,0),"")</f>
        <v/>
      </c>
      <c r="S344" s="13" t="str">
        <f>_xlfn.IFNA(VLOOKUP(Tabla3[[#This Row],[PROTECCION SECUNDARIA]],PROTECCION_SECUNDARIA[],2,0),"")</f>
        <v/>
      </c>
      <c r="T344" s="13" t="str">
        <f>_xlfn.IFNA(VLOOKUP(Tabla3[[#This Row],[Que]],QUE[#All],2,0),"")</f>
        <v/>
      </c>
      <c r="U344" s="13" t="str">
        <f>_xlfn.IFNA(VLOOKUP(Tabla3[[#This Row],[Señal]],SEÑAL[#All],2,0),"")</f>
        <v/>
      </c>
      <c r="V344" s="13" t="str">
        <f>_xlfn.IFNA(VLOOKUP(Tabla3[[#This Row],[NUMERO]],SEÑAL[#All],2,0),"")</f>
        <v/>
      </c>
    </row>
    <row r="345" spans="1:22" x14ac:dyDescent="0.25">
      <c r="A345" s="26" t="s">
        <v>1139</v>
      </c>
      <c r="B345" s="2" t="s">
        <v>8</v>
      </c>
      <c r="C345" s="2" t="s">
        <v>89</v>
      </c>
      <c r="D345" s="2" t="s">
        <v>109</v>
      </c>
      <c r="E345" s="2" t="s">
        <v>1381</v>
      </c>
      <c r="J345"/>
      <c r="K345"/>
      <c r="L34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5" s="13" t="str">
        <f>VLOOKUP(Tabla3[[#This Row],[Tipo]],TIPO[#All],2,0)</f>
        <v>ET</v>
      </c>
      <c r="O345" s="13" t="str">
        <f>VLOOKUP(Tabla3[[#This Row],[Lugar]],LUGAR[#All],2,0)</f>
        <v>VMN</v>
      </c>
      <c r="P345" s="13" t="str">
        <f>Tabla3[[#This Row],[SIGLAS]]</f>
        <v>TR3</v>
      </c>
      <c r="Q345" s="13" t="str">
        <f>_xlfn.IFNA(VLOOKUP(Tabla3[[#This Row],[Nivel de tension]],NIVEL[#All],2,0),"")</f>
        <v/>
      </c>
      <c r="R345" s="13" t="str">
        <f>_xlfn.IFNA(VLOOKUP(Tabla3[[#This Row],[DISPOSITIVO]],DISPOSITIVO[],2,0),"")</f>
        <v/>
      </c>
      <c r="S345" s="13" t="str">
        <f>_xlfn.IFNA(VLOOKUP(Tabla3[[#This Row],[PROTECCION SECUNDARIA]],PROTECCION_SECUNDARIA[],2,0),"")</f>
        <v/>
      </c>
      <c r="T345" s="13" t="str">
        <f>_xlfn.IFNA(VLOOKUP(Tabla3[[#This Row],[Que]],QUE[#All],2,0),"")</f>
        <v/>
      </c>
      <c r="U345" s="13" t="str">
        <f>_xlfn.IFNA(VLOOKUP(Tabla3[[#This Row],[Señal]],SEÑAL[#All],2,0),"")</f>
        <v/>
      </c>
      <c r="V345" s="13" t="str">
        <f>_xlfn.IFNA(VLOOKUP(Tabla3[[#This Row],[NUMERO]],SEÑAL[#All],2,0),"")</f>
        <v/>
      </c>
    </row>
    <row r="346" spans="1:22" x14ac:dyDescent="0.25">
      <c r="A346" s="26" t="s">
        <v>1140</v>
      </c>
      <c r="B346" s="2" t="s">
        <v>8</v>
      </c>
      <c r="C346" s="2" t="s">
        <v>89</v>
      </c>
      <c r="D346" s="2" t="s">
        <v>109</v>
      </c>
      <c r="E346" s="2" t="s">
        <v>1381</v>
      </c>
      <c r="J346"/>
      <c r="K346"/>
      <c r="L34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6" s="13" t="str">
        <f>VLOOKUP(Tabla3[[#This Row],[Tipo]],TIPO[#All],2,0)</f>
        <v>ET</v>
      </c>
      <c r="O346" s="13" t="str">
        <f>VLOOKUP(Tabla3[[#This Row],[Lugar]],LUGAR[#All],2,0)</f>
        <v>VMN</v>
      </c>
      <c r="P346" s="13" t="str">
        <f>Tabla3[[#This Row],[SIGLAS]]</f>
        <v>TR3</v>
      </c>
      <c r="Q346" s="13" t="str">
        <f>_xlfn.IFNA(VLOOKUP(Tabla3[[#This Row],[Nivel de tension]],NIVEL[#All],2,0),"")</f>
        <v/>
      </c>
      <c r="R346" s="13" t="str">
        <f>_xlfn.IFNA(VLOOKUP(Tabla3[[#This Row],[DISPOSITIVO]],DISPOSITIVO[],2,0),"")</f>
        <v/>
      </c>
      <c r="S346" s="13" t="str">
        <f>_xlfn.IFNA(VLOOKUP(Tabla3[[#This Row],[PROTECCION SECUNDARIA]],PROTECCION_SECUNDARIA[],2,0),"")</f>
        <v/>
      </c>
      <c r="T346" s="13" t="str">
        <f>_xlfn.IFNA(VLOOKUP(Tabla3[[#This Row],[Que]],QUE[#All],2,0),"")</f>
        <v/>
      </c>
      <c r="U346" s="13" t="str">
        <f>_xlfn.IFNA(VLOOKUP(Tabla3[[#This Row],[Señal]],SEÑAL[#All],2,0),"")</f>
        <v/>
      </c>
      <c r="V346" s="13" t="str">
        <f>_xlfn.IFNA(VLOOKUP(Tabla3[[#This Row],[NUMERO]],SEÑAL[#All],2,0),"")</f>
        <v/>
      </c>
    </row>
    <row r="347" spans="1:22" x14ac:dyDescent="0.25">
      <c r="A347" s="26" t="s">
        <v>1141</v>
      </c>
      <c r="B347" s="2" t="s">
        <v>8</v>
      </c>
      <c r="C347" s="2" t="s">
        <v>89</v>
      </c>
      <c r="D347" s="2" t="s">
        <v>109</v>
      </c>
      <c r="E347" s="2" t="s">
        <v>1381</v>
      </c>
      <c r="J347"/>
      <c r="K347"/>
      <c r="L34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7" s="13" t="str">
        <f>VLOOKUP(Tabla3[[#This Row],[Tipo]],TIPO[#All],2,0)</f>
        <v>ET</v>
      </c>
      <c r="O347" s="13" t="str">
        <f>VLOOKUP(Tabla3[[#This Row],[Lugar]],LUGAR[#All],2,0)</f>
        <v>VMN</v>
      </c>
      <c r="P347" s="13" t="str">
        <f>Tabla3[[#This Row],[SIGLAS]]</f>
        <v>TR3</v>
      </c>
      <c r="Q347" s="13" t="str">
        <f>_xlfn.IFNA(VLOOKUP(Tabla3[[#This Row],[Nivel de tension]],NIVEL[#All],2,0),"")</f>
        <v/>
      </c>
      <c r="R347" s="13" t="str">
        <f>_xlfn.IFNA(VLOOKUP(Tabla3[[#This Row],[DISPOSITIVO]],DISPOSITIVO[],2,0),"")</f>
        <v/>
      </c>
      <c r="S347" s="13" t="str">
        <f>_xlfn.IFNA(VLOOKUP(Tabla3[[#This Row],[PROTECCION SECUNDARIA]],PROTECCION_SECUNDARIA[],2,0),"")</f>
        <v/>
      </c>
      <c r="T347" s="13" t="str">
        <f>_xlfn.IFNA(VLOOKUP(Tabla3[[#This Row],[Que]],QUE[#All],2,0),"")</f>
        <v/>
      </c>
      <c r="U347" s="13" t="str">
        <f>_xlfn.IFNA(VLOOKUP(Tabla3[[#This Row],[Señal]],SEÑAL[#All],2,0),"")</f>
        <v/>
      </c>
      <c r="V347" s="13" t="str">
        <f>_xlfn.IFNA(VLOOKUP(Tabla3[[#This Row],[NUMERO]],SEÑAL[#All],2,0),"")</f>
        <v/>
      </c>
    </row>
    <row r="348" spans="1:22" x14ac:dyDescent="0.25">
      <c r="A348" s="26" t="s">
        <v>1142</v>
      </c>
      <c r="B348" s="2" t="s">
        <v>8</v>
      </c>
      <c r="C348" s="2" t="s">
        <v>89</v>
      </c>
      <c r="D348" s="2" t="s">
        <v>109</v>
      </c>
      <c r="E348" s="2" t="s">
        <v>1381</v>
      </c>
      <c r="J348"/>
      <c r="K348"/>
      <c r="L34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8" s="13" t="str">
        <f>VLOOKUP(Tabla3[[#This Row],[Tipo]],TIPO[#All],2,0)</f>
        <v>ET</v>
      </c>
      <c r="O348" s="13" t="str">
        <f>VLOOKUP(Tabla3[[#This Row],[Lugar]],LUGAR[#All],2,0)</f>
        <v>VMN</v>
      </c>
      <c r="P348" s="13" t="str">
        <f>Tabla3[[#This Row],[SIGLAS]]</f>
        <v>TR3</v>
      </c>
      <c r="Q348" s="13" t="str">
        <f>_xlfn.IFNA(VLOOKUP(Tabla3[[#This Row],[Nivel de tension]],NIVEL[#All],2,0),"")</f>
        <v/>
      </c>
      <c r="R348" s="13" t="str">
        <f>_xlfn.IFNA(VLOOKUP(Tabla3[[#This Row],[DISPOSITIVO]],DISPOSITIVO[],2,0),"")</f>
        <v/>
      </c>
      <c r="S348" s="13" t="str">
        <f>_xlfn.IFNA(VLOOKUP(Tabla3[[#This Row],[PROTECCION SECUNDARIA]],PROTECCION_SECUNDARIA[],2,0),"")</f>
        <v/>
      </c>
      <c r="T348" s="13" t="str">
        <f>_xlfn.IFNA(VLOOKUP(Tabla3[[#This Row],[Que]],QUE[#All],2,0),"")</f>
        <v/>
      </c>
      <c r="U348" s="13" t="str">
        <f>_xlfn.IFNA(VLOOKUP(Tabla3[[#This Row],[Señal]],SEÑAL[#All],2,0),"")</f>
        <v/>
      </c>
      <c r="V348" s="13" t="str">
        <f>_xlfn.IFNA(VLOOKUP(Tabla3[[#This Row],[NUMERO]],SEÑAL[#All],2,0),"")</f>
        <v/>
      </c>
    </row>
    <row r="349" spans="1:22" x14ac:dyDescent="0.25">
      <c r="A349" s="26" t="s">
        <v>1143</v>
      </c>
      <c r="B349" s="2" t="s">
        <v>8</v>
      </c>
      <c r="C349" s="2" t="s">
        <v>89</v>
      </c>
      <c r="D349" s="2" t="s">
        <v>109</v>
      </c>
      <c r="E349" s="2" t="s">
        <v>1381</v>
      </c>
      <c r="J349"/>
      <c r="K349"/>
      <c r="L34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49" s="13" t="str">
        <f>VLOOKUP(Tabla3[[#This Row],[Tipo]],TIPO[#All],2,0)</f>
        <v>ET</v>
      </c>
      <c r="O349" s="13" t="str">
        <f>VLOOKUP(Tabla3[[#This Row],[Lugar]],LUGAR[#All],2,0)</f>
        <v>VMN</v>
      </c>
      <c r="P349" s="13" t="str">
        <f>Tabla3[[#This Row],[SIGLAS]]</f>
        <v>TR3</v>
      </c>
      <c r="Q349" s="13" t="str">
        <f>_xlfn.IFNA(VLOOKUP(Tabla3[[#This Row],[Nivel de tension]],NIVEL[#All],2,0),"")</f>
        <v/>
      </c>
      <c r="R349" s="13" t="str">
        <f>_xlfn.IFNA(VLOOKUP(Tabla3[[#This Row],[DISPOSITIVO]],DISPOSITIVO[],2,0),"")</f>
        <v/>
      </c>
      <c r="S349" s="13" t="str">
        <f>_xlfn.IFNA(VLOOKUP(Tabla3[[#This Row],[PROTECCION SECUNDARIA]],PROTECCION_SECUNDARIA[],2,0),"")</f>
        <v/>
      </c>
      <c r="T349" s="13" t="str">
        <f>_xlfn.IFNA(VLOOKUP(Tabla3[[#This Row],[Que]],QUE[#All],2,0),"")</f>
        <v/>
      </c>
      <c r="U349" s="13" t="str">
        <f>_xlfn.IFNA(VLOOKUP(Tabla3[[#This Row],[Señal]],SEÑAL[#All],2,0),"")</f>
        <v/>
      </c>
      <c r="V349" s="13" t="str">
        <f>_xlfn.IFNA(VLOOKUP(Tabla3[[#This Row],[NUMERO]],SEÑAL[#All],2,0),"")</f>
        <v/>
      </c>
    </row>
    <row r="350" spans="1:22" x14ac:dyDescent="0.25">
      <c r="A350" s="26" t="s">
        <v>1037</v>
      </c>
      <c r="B350" s="2" t="s">
        <v>8</v>
      </c>
      <c r="C350" s="2" t="s">
        <v>89</v>
      </c>
      <c r="D350" s="2" t="s">
        <v>109</v>
      </c>
      <c r="E350" s="2" t="s">
        <v>1381</v>
      </c>
      <c r="J350"/>
      <c r="K350"/>
      <c r="L35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0" s="13" t="str">
        <f>VLOOKUP(Tabla3[[#This Row],[Tipo]],TIPO[#All],2,0)</f>
        <v>ET</v>
      </c>
      <c r="O350" s="13" t="str">
        <f>VLOOKUP(Tabla3[[#This Row],[Lugar]],LUGAR[#All],2,0)</f>
        <v>VMN</v>
      </c>
      <c r="P350" s="13" t="str">
        <f>Tabla3[[#This Row],[SIGLAS]]</f>
        <v>TR3</v>
      </c>
      <c r="Q350" s="13" t="str">
        <f>_xlfn.IFNA(VLOOKUP(Tabla3[[#This Row],[Nivel de tension]],NIVEL[#All],2,0),"")</f>
        <v/>
      </c>
      <c r="R350" s="13" t="str">
        <f>_xlfn.IFNA(VLOOKUP(Tabla3[[#This Row],[DISPOSITIVO]],DISPOSITIVO[],2,0),"")</f>
        <v/>
      </c>
      <c r="S350" s="13" t="str">
        <f>_xlfn.IFNA(VLOOKUP(Tabla3[[#This Row],[PROTECCION SECUNDARIA]],PROTECCION_SECUNDARIA[],2,0),"")</f>
        <v/>
      </c>
      <c r="T350" s="13" t="str">
        <f>_xlfn.IFNA(VLOOKUP(Tabla3[[#This Row],[Que]],QUE[#All],2,0),"")</f>
        <v/>
      </c>
      <c r="U350" s="13" t="str">
        <f>_xlfn.IFNA(VLOOKUP(Tabla3[[#This Row],[Señal]],SEÑAL[#All],2,0),"")</f>
        <v/>
      </c>
      <c r="V350" s="13" t="str">
        <f>_xlfn.IFNA(VLOOKUP(Tabla3[[#This Row],[NUMERO]],SEÑAL[#All],2,0),"")</f>
        <v/>
      </c>
    </row>
    <row r="351" spans="1:22" x14ac:dyDescent="0.25">
      <c r="A351" s="26" t="s">
        <v>1038</v>
      </c>
      <c r="B351" s="2" t="s">
        <v>8</v>
      </c>
      <c r="C351" s="2" t="s">
        <v>89</v>
      </c>
      <c r="D351" s="2" t="s">
        <v>109</v>
      </c>
      <c r="E351" s="2" t="s">
        <v>1381</v>
      </c>
      <c r="J351"/>
      <c r="K351"/>
      <c r="L35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1" s="13" t="str">
        <f>VLOOKUP(Tabla3[[#This Row],[Tipo]],TIPO[#All],2,0)</f>
        <v>ET</v>
      </c>
      <c r="O351" s="13" t="str">
        <f>VLOOKUP(Tabla3[[#This Row],[Lugar]],LUGAR[#All],2,0)</f>
        <v>VMN</v>
      </c>
      <c r="P351" s="13" t="str">
        <f>Tabla3[[#This Row],[SIGLAS]]</f>
        <v>TR3</v>
      </c>
      <c r="Q351" s="13" t="str">
        <f>_xlfn.IFNA(VLOOKUP(Tabla3[[#This Row],[Nivel de tension]],NIVEL[#All],2,0),"")</f>
        <v/>
      </c>
      <c r="R351" s="13" t="str">
        <f>_xlfn.IFNA(VLOOKUP(Tabla3[[#This Row],[DISPOSITIVO]],DISPOSITIVO[],2,0),"")</f>
        <v/>
      </c>
      <c r="S351" s="13" t="str">
        <f>_xlfn.IFNA(VLOOKUP(Tabla3[[#This Row],[PROTECCION SECUNDARIA]],PROTECCION_SECUNDARIA[],2,0),"")</f>
        <v/>
      </c>
      <c r="T351" s="13" t="str">
        <f>_xlfn.IFNA(VLOOKUP(Tabla3[[#This Row],[Que]],QUE[#All],2,0),"")</f>
        <v/>
      </c>
      <c r="U351" s="13" t="str">
        <f>_xlfn.IFNA(VLOOKUP(Tabla3[[#This Row],[Señal]],SEÑAL[#All],2,0),"")</f>
        <v/>
      </c>
      <c r="V351" s="13" t="str">
        <f>_xlfn.IFNA(VLOOKUP(Tabla3[[#This Row],[NUMERO]],SEÑAL[#All],2,0),"")</f>
        <v/>
      </c>
    </row>
    <row r="352" spans="1:22" x14ac:dyDescent="0.25">
      <c r="A352" s="26" t="s">
        <v>1039</v>
      </c>
      <c r="B352" s="2" t="s">
        <v>8</v>
      </c>
      <c r="C352" s="2" t="s">
        <v>89</v>
      </c>
      <c r="D352" s="2" t="s">
        <v>109</v>
      </c>
      <c r="E352" s="2" t="s">
        <v>1381</v>
      </c>
      <c r="J352"/>
      <c r="K352"/>
      <c r="L35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2" s="13" t="str">
        <f>VLOOKUP(Tabla3[[#This Row],[Tipo]],TIPO[#All],2,0)</f>
        <v>ET</v>
      </c>
      <c r="O352" s="13" t="str">
        <f>VLOOKUP(Tabla3[[#This Row],[Lugar]],LUGAR[#All],2,0)</f>
        <v>VMN</v>
      </c>
      <c r="P352" s="13" t="str">
        <f>Tabla3[[#This Row],[SIGLAS]]</f>
        <v>TR3</v>
      </c>
      <c r="Q352" s="13" t="str">
        <f>_xlfn.IFNA(VLOOKUP(Tabla3[[#This Row],[Nivel de tension]],NIVEL[#All],2,0),"")</f>
        <v/>
      </c>
      <c r="R352" s="13" t="str">
        <f>_xlfn.IFNA(VLOOKUP(Tabla3[[#This Row],[DISPOSITIVO]],DISPOSITIVO[],2,0),"")</f>
        <v/>
      </c>
      <c r="S352" s="13" t="str">
        <f>_xlfn.IFNA(VLOOKUP(Tabla3[[#This Row],[PROTECCION SECUNDARIA]],PROTECCION_SECUNDARIA[],2,0),"")</f>
        <v/>
      </c>
      <c r="T352" s="13" t="str">
        <f>_xlfn.IFNA(VLOOKUP(Tabla3[[#This Row],[Que]],QUE[#All],2,0),"")</f>
        <v/>
      </c>
      <c r="U352" s="13" t="str">
        <f>_xlfn.IFNA(VLOOKUP(Tabla3[[#This Row],[Señal]],SEÑAL[#All],2,0),"")</f>
        <v/>
      </c>
      <c r="V352" s="13" t="str">
        <f>_xlfn.IFNA(VLOOKUP(Tabla3[[#This Row],[NUMERO]],SEÑAL[#All],2,0),"")</f>
        <v/>
      </c>
    </row>
    <row r="353" spans="1:22" x14ac:dyDescent="0.25">
      <c r="A353" s="26" t="s">
        <v>1144</v>
      </c>
      <c r="B353" s="2" t="s">
        <v>8</v>
      </c>
      <c r="C353" s="2" t="s">
        <v>89</v>
      </c>
      <c r="D353" s="2" t="s">
        <v>109</v>
      </c>
      <c r="E353" s="2" t="s">
        <v>1381</v>
      </c>
      <c r="J353"/>
      <c r="K353"/>
      <c r="L35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3" s="13" t="str">
        <f>VLOOKUP(Tabla3[[#This Row],[Tipo]],TIPO[#All],2,0)</f>
        <v>ET</v>
      </c>
      <c r="O353" s="13" t="str">
        <f>VLOOKUP(Tabla3[[#This Row],[Lugar]],LUGAR[#All],2,0)</f>
        <v>VMN</v>
      </c>
      <c r="P353" s="13" t="str">
        <f>Tabla3[[#This Row],[SIGLAS]]</f>
        <v>TR3</v>
      </c>
      <c r="Q353" s="13" t="str">
        <f>_xlfn.IFNA(VLOOKUP(Tabla3[[#This Row],[Nivel de tension]],NIVEL[#All],2,0),"")</f>
        <v/>
      </c>
      <c r="R353" s="13" t="str">
        <f>_xlfn.IFNA(VLOOKUP(Tabla3[[#This Row],[DISPOSITIVO]],DISPOSITIVO[],2,0),"")</f>
        <v/>
      </c>
      <c r="S353" s="13" t="str">
        <f>_xlfn.IFNA(VLOOKUP(Tabla3[[#This Row],[PROTECCION SECUNDARIA]],PROTECCION_SECUNDARIA[],2,0),"")</f>
        <v/>
      </c>
      <c r="T353" s="13" t="str">
        <f>_xlfn.IFNA(VLOOKUP(Tabla3[[#This Row],[Que]],QUE[#All],2,0),"")</f>
        <v/>
      </c>
      <c r="U353" s="13" t="str">
        <f>_xlfn.IFNA(VLOOKUP(Tabla3[[#This Row],[Señal]],SEÑAL[#All],2,0),"")</f>
        <v/>
      </c>
      <c r="V353" s="13" t="str">
        <f>_xlfn.IFNA(VLOOKUP(Tabla3[[#This Row],[NUMERO]],SEÑAL[#All],2,0),"")</f>
        <v/>
      </c>
    </row>
    <row r="354" spans="1:22" x14ac:dyDescent="0.25">
      <c r="A354" s="26" t="s">
        <v>1145</v>
      </c>
      <c r="B354" s="2" t="s">
        <v>8</v>
      </c>
      <c r="C354" s="2" t="s">
        <v>89</v>
      </c>
      <c r="D354" s="2" t="s">
        <v>109</v>
      </c>
      <c r="E354" s="2" t="s">
        <v>1381</v>
      </c>
      <c r="J354"/>
      <c r="K354"/>
      <c r="L35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4" s="13" t="str">
        <f>VLOOKUP(Tabla3[[#This Row],[Tipo]],TIPO[#All],2,0)</f>
        <v>ET</v>
      </c>
      <c r="O354" s="13" t="str">
        <f>VLOOKUP(Tabla3[[#This Row],[Lugar]],LUGAR[#All],2,0)</f>
        <v>VMN</v>
      </c>
      <c r="P354" s="13" t="str">
        <f>Tabla3[[#This Row],[SIGLAS]]</f>
        <v>TR3</v>
      </c>
      <c r="Q354" s="13" t="str">
        <f>_xlfn.IFNA(VLOOKUP(Tabla3[[#This Row],[Nivel de tension]],NIVEL[#All],2,0),"")</f>
        <v/>
      </c>
      <c r="R354" s="13" t="str">
        <f>_xlfn.IFNA(VLOOKUP(Tabla3[[#This Row],[DISPOSITIVO]],DISPOSITIVO[],2,0),"")</f>
        <v/>
      </c>
      <c r="S354" s="13" t="str">
        <f>_xlfn.IFNA(VLOOKUP(Tabla3[[#This Row],[PROTECCION SECUNDARIA]],PROTECCION_SECUNDARIA[],2,0),"")</f>
        <v/>
      </c>
      <c r="T354" s="13" t="str">
        <f>_xlfn.IFNA(VLOOKUP(Tabla3[[#This Row],[Que]],QUE[#All],2,0),"")</f>
        <v/>
      </c>
      <c r="U354" s="13" t="str">
        <f>_xlfn.IFNA(VLOOKUP(Tabla3[[#This Row],[Señal]],SEÑAL[#All],2,0),"")</f>
        <v/>
      </c>
      <c r="V354" s="13" t="str">
        <f>_xlfn.IFNA(VLOOKUP(Tabla3[[#This Row],[NUMERO]],SEÑAL[#All],2,0),"")</f>
        <v/>
      </c>
    </row>
    <row r="355" spans="1:22" x14ac:dyDescent="0.25">
      <c r="A355" s="26" t="s">
        <v>1146</v>
      </c>
      <c r="B355" s="2" t="s">
        <v>8</v>
      </c>
      <c r="C355" s="2" t="s">
        <v>89</v>
      </c>
      <c r="D355" s="2" t="s">
        <v>109</v>
      </c>
      <c r="E355" s="2" t="s">
        <v>1381</v>
      </c>
      <c r="J355"/>
      <c r="K355"/>
      <c r="L35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5" s="13" t="str">
        <f>VLOOKUP(Tabla3[[#This Row],[Tipo]],TIPO[#All],2,0)</f>
        <v>ET</v>
      </c>
      <c r="O355" s="13" t="str">
        <f>VLOOKUP(Tabla3[[#This Row],[Lugar]],LUGAR[#All],2,0)</f>
        <v>VMN</v>
      </c>
      <c r="P355" s="13" t="str">
        <f>Tabla3[[#This Row],[SIGLAS]]</f>
        <v>TR3</v>
      </c>
      <c r="Q355" s="13" t="str">
        <f>_xlfn.IFNA(VLOOKUP(Tabla3[[#This Row],[Nivel de tension]],NIVEL[#All],2,0),"")</f>
        <v/>
      </c>
      <c r="R355" s="13" t="str">
        <f>_xlfn.IFNA(VLOOKUP(Tabla3[[#This Row],[DISPOSITIVO]],DISPOSITIVO[],2,0),"")</f>
        <v/>
      </c>
      <c r="S355" s="13" t="str">
        <f>_xlfn.IFNA(VLOOKUP(Tabla3[[#This Row],[PROTECCION SECUNDARIA]],PROTECCION_SECUNDARIA[],2,0),"")</f>
        <v/>
      </c>
      <c r="T355" s="13" t="str">
        <f>_xlfn.IFNA(VLOOKUP(Tabla3[[#This Row],[Que]],QUE[#All],2,0),"")</f>
        <v/>
      </c>
      <c r="U355" s="13" t="str">
        <f>_xlfn.IFNA(VLOOKUP(Tabla3[[#This Row],[Señal]],SEÑAL[#All],2,0),"")</f>
        <v/>
      </c>
      <c r="V355" s="13" t="str">
        <f>_xlfn.IFNA(VLOOKUP(Tabla3[[#This Row],[NUMERO]],SEÑAL[#All],2,0),"")</f>
        <v/>
      </c>
    </row>
    <row r="356" spans="1:22" x14ac:dyDescent="0.25">
      <c r="A356" s="26" t="s">
        <v>1147</v>
      </c>
      <c r="B356" s="2" t="s">
        <v>8</v>
      </c>
      <c r="C356" s="2" t="s">
        <v>89</v>
      </c>
      <c r="D356" s="2" t="s">
        <v>109</v>
      </c>
      <c r="E356" s="2" t="s">
        <v>1381</v>
      </c>
      <c r="J356"/>
      <c r="K356"/>
      <c r="L35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6" s="13" t="str">
        <f>VLOOKUP(Tabla3[[#This Row],[Tipo]],TIPO[#All],2,0)</f>
        <v>ET</v>
      </c>
      <c r="O356" s="13" t="str">
        <f>VLOOKUP(Tabla3[[#This Row],[Lugar]],LUGAR[#All],2,0)</f>
        <v>VMN</v>
      </c>
      <c r="P356" s="13" t="str">
        <f>Tabla3[[#This Row],[SIGLAS]]</f>
        <v>TR3</v>
      </c>
      <c r="Q356" s="13" t="str">
        <f>_xlfn.IFNA(VLOOKUP(Tabla3[[#This Row],[Nivel de tension]],NIVEL[#All],2,0),"")</f>
        <v/>
      </c>
      <c r="R356" s="13" t="str">
        <f>_xlfn.IFNA(VLOOKUP(Tabla3[[#This Row],[DISPOSITIVO]],DISPOSITIVO[],2,0),"")</f>
        <v/>
      </c>
      <c r="S356" s="13" t="str">
        <f>_xlfn.IFNA(VLOOKUP(Tabla3[[#This Row],[PROTECCION SECUNDARIA]],PROTECCION_SECUNDARIA[],2,0),"")</f>
        <v/>
      </c>
      <c r="T356" s="13" t="str">
        <f>_xlfn.IFNA(VLOOKUP(Tabla3[[#This Row],[Que]],QUE[#All],2,0),"")</f>
        <v/>
      </c>
      <c r="U356" s="13" t="str">
        <f>_xlfn.IFNA(VLOOKUP(Tabla3[[#This Row],[Señal]],SEÑAL[#All],2,0),"")</f>
        <v/>
      </c>
      <c r="V356" s="13" t="str">
        <f>_xlfn.IFNA(VLOOKUP(Tabla3[[#This Row],[NUMERO]],SEÑAL[#All],2,0),"")</f>
        <v/>
      </c>
    </row>
    <row r="357" spans="1:22" x14ac:dyDescent="0.25">
      <c r="A357" s="26" t="s">
        <v>1148</v>
      </c>
      <c r="B357" s="2" t="s">
        <v>8</v>
      </c>
      <c r="C357" s="2" t="s">
        <v>89</v>
      </c>
      <c r="D357" s="2" t="s">
        <v>109</v>
      </c>
      <c r="E357" s="2" t="s">
        <v>1381</v>
      </c>
      <c r="J357"/>
      <c r="K357"/>
      <c r="L35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7" s="13" t="str">
        <f>VLOOKUP(Tabla3[[#This Row],[Tipo]],TIPO[#All],2,0)</f>
        <v>ET</v>
      </c>
      <c r="O357" s="13" t="str">
        <f>VLOOKUP(Tabla3[[#This Row],[Lugar]],LUGAR[#All],2,0)</f>
        <v>VMN</v>
      </c>
      <c r="P357" s="13" t="str">
        <f>Tabla3[[#This Row],[SIGLAS]]</f>
        <v>TR3</v>
      </c>
      <c r="Q357" s="13" t="str">
        <f>_xlfn.IFNA(VLOOKUP(Tabla3[[#This Row],[Nivel de tension]],NIVEL[#All],2,0),"")</f>
        <v/>
      </c>
      <c r="R357" s="13" t="str">
        <f>_xlfn.IFNA(VLOOKUP(Tabla3[[#This Row],[DISPOSITIVO]],DISPOSITIVO[],2,0),"")</f>
        <v/>
      </c>
      <c r="S357" s="13" t="str">
        <f>_xlfn.IFNA(VLOOKUP(Tabla3[[#This Row],[PROTECCION SECUNDARIA]],PROTECCION_SECUNDARIA[],2,0),"")</f>
        <v/>
      </c>
      <c r="T357" s="13" t="str">
        <f>_xlfn.IFNA(VLOOKUP(Tabla3[[#This Row],[Que]],QUE[#All],2,0),"")</f>
        <v/>
      </c>
      <c r="U357" s="13" t="str">
        <f>_xlfn.IFNA(VLOOKUP(Tabla3[[#This Row],[Señal]],SEÑAL[#All],2,0),"")</f>
        <v/>
      </c>
      <c r="V357" s="13" t="str">
        <f>_xlfn.IFNA(VLOOKUP(Tabla3[[#This Row],[NUMERO]],SEÑAL[#All],2,0),"")</f>
        <v/>
      </c>
    </row>
    <row r="358" spans="1:22" x14ac:dyDescent="0.25">
      <c r="A358" s="26" t="s">
        <v>1149</v>
      </c>
      <c r="B358" s="2" t="s">
        <v>8</v>
      </c>
      <c r="C358" s="2" t="s">
        <v>89</v>
      </c>
      <c r="D358" s="2" t="s">
        <v>109</v>
      </c>
      <c r="E358" s="2" t="s">
        <v>1381</v>
      </c>
      <c r="J358"/>
      <c r="K358"/>
      <c r="L35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8" s="13" t="str">
        <f>VLOOKUP(Tabla3[[#This Row],[Tipo]],TIPO[#All],2,0)</f>
        <v>ET</v>
      </c>
      <c r="O358" s="13" t="str">
        <f>VLOOKUP(Tabla3[[#This Row],[Lugar]],LUGAR[#All],2,0)</f>
        <v>VMN</v>
      </c>
      <c r="P358" s="13" t="str">
        <f>Tabla3[[#This Row],[SIGLAS]]</f>
        <v>TR3</v>
      </c>
      <c r="Q358" s="13" t="str">
        <f>_xlfn.IFNA(VLOOKUP(Tabla3[[#This Row],[Nivel de tension]],NIVEL[#All],2,0),"")</f>
        <v/>
      </c>
      <c r="R358" s="13" t="str">
        <f>_xlfn.IFNA(VLOOKUP(Tabla3[[#This Row],[DISPOSITIVO]],DISPOSITIVO[],2,0),"")</f>
        <v/>
      </c>
      <c r="S358" s="13" t="str">
        <f>_xlfn.IFNA(VLOOKUP(Tabla3[[#This Row],[PROTECCION SECUNDARIA]],PROTECCION_SECUNDARIA[],2,0),"")</f>
        <v/>
      </c>
      <c r="T358" s="13" t="str">
        <f>_xlfn.IFNA(VLOOKUP(Tabla3[[#This Row],[Que]],QUE[#All],2,0),"")</f>
        <v/>
      </c>
      <c r="U358" s="13" t="str">
        <f>_xlfn.IFNA(VLOOKUP(Tabla3[[#This Row],[Señal]],SEÑAL[#All],2,0),"")</f>
        <v/>
      </c>
      <c r="V358" s="13" t="str">
        <f>_xlfn.IFNA(VLOOKUP(Tabla3[[#This Row],[NUMERO]],SEÑAL[#All],2,0),"")</f>
        <v/>
      </c>
    </row>
    <row r="359" spans="1:22" x14ac:dyDescent="0.25">
      <c r="A359" s="26" t="s">
        <v>1150</v>
      </c>
      <c r="B359" s="2" t="s">
        <v>8</v>
      </c>
      <c r="C359" s="2" t="s">
        <v>89</v>
      </c>
      <c r="D359" s="2" t="s">
        <v>109</v>
      </c>
      <c r="E359" s="2" t="s">
        <v>1381</v>
      </c>
      <c r="J359"/>
      <c r="K359"/>
      <c r="L35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59" s="13" t="str">
        <f>VLOOKUP(Tabla3[[#This Row],[Tipo]],TIPO[#All],2,0)</f>
        <v>ET</v>
      </c>
      <c r="O359" s="13" t="str">
        <f>VLOOKUP(Tabla3[[#This Row],[Lugar]],LUGAR[#All],2,0)</f>
        <v>VMN</v>
      </c>
      <c r="P359" s="13" t="str">
        <f>Tabla3[[#This Row],[SIGLAS]]</f>
        <v>TR3</v>
      </c>
      <c r="Q359" s="13" t="str">
        <f>_xlfn.IFNA(VLOOKUP(Tabla3[[#This Row],[Nivel de tension]],NIVEL[#All],2,0),"")</f>
        <v/>
      </c>
      <c r="R359" s="13" t="str">
        <f>_xlfn.IFNA(VLOOKUP(Tabla3[[#This Row],[DISPOSITIVO]],DISPOSITIVO[],2,0),"")</f>
        <v/>
      </c>
      <c r="S359" s="13" t="str">
        <f>_xlfn.IFNA(VLOOKUP(Tabla3[[#This Row],[PROTECCION SECUNDARIA]],PROTECCION_SECUNDARIA[],2,0),"")</f>
        <v/>
      </c>
      <c r="T359" s="13" t="str">
        <f>_xlfn.IFNA(VLOOKUP(Tabla3[[#This Row],[Que]],QUE[#All],2,0),"")</f>
        <v/>
      </c>
      <c r="U359" s="13" t="str">
        <f>_xlfn.IFNA(VLOOKUP(Tabla3[[#This Row],[Señal]],SEÑAL[#All],2,0),"")</f>
        <v/>
      </c>
      <c r="V359" s="13" t="str">
        <f>_xlfn.IFNA(VLOOKUP(Tabla3[[#This Row],[NUMERO]],SEÑAL[#All],2,0),"")</f>
        <v/>
      </c>
    </row>
    <row r="360" spans="1:22" x14ac:dyDescent="0.25">
      <c r="A360" s="26" t="s">
        <v>1151</v>
      </c>
      <c r="B360" s="2" t="s">
        <v>8</v>
      </c>
      <c r="C360" s="2" t="s">
        <v>89</v>
      </c>
      <c r="D360" s="2" t="s">
        <v>109</v>
      </c>
      <c r="E360" s="2" t="s">
        <v>1381</v>
      </c>
      <c r="J360"/>
      <c r="K360"/>
      <c r="L36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0" s="13" t="str">
        <f>VLOOKUP(Tabla3[[#This Row],[Tipo]],TIPO[#All],2,0)</f>
        <v>ET</v>
      </c>
      <c r="O360" s="13" t="str">
        <f>VLOOKUP(Tabla3[[#This Row],[Lugar]],LUGAR[#All],2,0)</f>
        <v>VMN</v>
      </c>
      <c r="P360" s="13" t="str">
        <f>Tabla3[[#This Row],[SIGLAS]]</f>
        <v>TR3</v>
      </c>
      <c r="Q360" s="13" t="str">
        <f>_xlfn.IFNA(VLOOKUP(Tabla3[[#This Row],[Nivel de tension]],NIVEL[#All],2,0),"")</f>
        <v/>
      </c>
      <c r="R360" s="13" t="str">
        <f>_xlfn.IFNA(VLOOKUP(Tabla3[[#This Row],[DISPOSITIVO]],DISPOSITIVO[],2,0),"")</f>
        <v/>
      </c>
      <c r="S360" s="13" t="str">
        <f>_xlfn.IFNA(VLOOKUP(Tabla3[[#This Row],[PROTECCION SECUNDARIA]],PROTECCION_SECUNDARIA[],2,0),"")</f>
        <v/>
      </c>
      <c r="T360" s="13" t="str">
        <f>_xlfn.IFNA(VLOOKUP(Tabla3[[#This Row],[Que]],QUE[#All],2,0),"")</f>
        <v/>
      </c>
      <c r="U360" s="13" t="str">
        <f>_xlfn.IFNA(VLOOKUP(Tabla3[[#This Row],[Señal]],SEÑAL[#All],2,0),"")</f>
        <v/>
      </c>
      <c r="V360" s="13" t="str">
        <f>_xlfn.IFNA(VLOOKUP(Tabla3[[#This Row],[NUMERO]],SEÑAL[#All],2,0),"")</f>
        <v/>
      </c>
    </row>
    <row r="361" spans="1:22" x14ac:dyDescent="0.25">
      <c r="A361" s="26" t="s">
        <v>1152</v>
      </c>
      <c r="B361" s="2" t="s">
        <v>8</v>
      </c>
      <c r="C361" s="2" t="s">
        <v>89</v>
      </c>
      <c r="D361" s="2" t="s">
        <v>109</v>
      </c>
      <c r="E361" s="2" t="s">
        <v>1381</v>
      </c>
      <c r="J361"/>
      <c r="K361"/>
      <c r="L36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1" s="13" t="str">
        <f>VLOOKUP(Tabla3[[#This Row],[Tipo]],TIPO[#All],2,0)</f>
        <v>ET</v>
      </c>
      <c r="O361" s="13" t="str">
        <f>VLOOKUP(Tabla3[[#This Row],[Lugar]],LUGAR[#All],2,0)</f>
        <v>VMN</v>
      </c>
      <c r="P361" s="13" t="str">
        <f>Tabla3[[#This Row],[SIGLAS]]</f>
        <v>TR3</v>
      </c>
      <c r="Q361" s="13" t="str">
        <f>_xlfn.IFNA(VLOOKUP(Tabla3[[#This Row],[Nivel de tension]],NIVEL[#All],2,0),"")</f>
        <v/>
      </c>
      <c r="R361" s="13" t="str">
        <f>_xlfn.IFNA(VLOOKUP(Tabla3[[#This Row],[DISPOSITIVO]],DISPOSITIVO[],2,0),"")</f>
        <v/>
      </c>
      <c r="S361" s="13" t="str">
        <f>_xlfn.IFNA(VLOOKUP(Tabla3[[#This Row],[PROTECCION SECUNDARIA]],PROTECCION_SECUNDARIA[],2,0),"")</f>
        <v/>
      </c>
      <c r="T361" s="13" t="str">
        <f>_xlfn.IFNA(VLOOKUP(Tabla3[[#This Row],[Que]],QUE[#All],2,0),"")</f>
        <v/>
      </c>
      <c r="U361" s="13" t="str">
        <f>_xlfn.IFNA(VLOOKUP(Tabla3[[#This Row],[Señal]],SEÑAL[#All],2,0),"")</f>
        <v/>
      </c>
      <c r="V361" s="13" t="str">
        <f>_xlfn.IFNA(VLOOKUP(Tabla3[[#This Row],[NUMERO]],SEÑAL[#All],2,0),"")</f>
        <v/>
      </c>
    </row>
    <row r="362" spans="1:22" x14ac:dyDescent="0.25">
      <c r="A362" s="26" t="s">
        <v>1153</v>
      </c>
      <c r="B362" s="2" t="s">
        <v>8</v>
      </c>
      <c r="C362" s="2" t="s">
        <v>89</v>
      </c>
      <c r="D362" s="2" t="s">
        <v>109</v>
      </c>
      <c r="E362" s="2" t="s">
        <v>1381</v>
      </c>
      <c r="J362"/>
      <c r="K362"/>
      <c r="L36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2" s="13" t="str">
        <f>VLOOKUP(Tabla3[[#This Row],[Tipo]],TIPO[#All],2,0)</f>
        <v>ET</v>
      </c>
      <c r="O362" s="13" t="str">
        <f>VLOOKUP(Tabla3[[#This Row],[Lugar]],LUGAR[#All],2,0)</f>
        <v>VMN</v>
      </c>
      <c r="P362" s="13" t="str">
        <f>Tabla3[[#This Row],[SIGLAS]]</f>
        <v>TR3</v>
      </c>
      <c r="Q362" s="13" t="str">
        <f>_xlfn.IFNA(VLOOKUP(Tabla3[[#This Row],[Nivel de tension]],NIVEL[#All],2,0),"")</f>
        <v/>
      </c>
      <c r="R362" s="13" t="str">
        <f>_xlfn.IFNA(VLOOKUP(Tabla3[[#This Row],[DISPOSITIVO]],DISPOSITIVO[],2,0),"")</f>
        <v/>
      </c>
      <c r="S362" s="13" t="str">
        <f>_xlfn.IFNA(VLOOKUP(Tabla3[[#This Row],[PROTECCION SECUNDARIA]],PROTECCION_SECUNDARIA[],2,0),"")</f>
        <v/>
      </c>
      <c r="T362" s="13" t="str">
        <f>_xlfn.IFNA(VLOOKUP(Tabla3[[#This Row],[Que]],QUE[#All],2,0),"")</f>
        <v/>
      </c>
      <c r="U362" s="13" t="str">
        <f>_xlfn.IFNA(VLOOKUP(Tabla3[[#This Row],[Señal]],SEÑAL[#All],2,0),"")</f>
        <v/>
      </c>
      <c r="V362" s="13" t="str">
        <f>_xlfn.IFNA(VLOOKUP(Tabla3[[#This Row],[NUMERO]],SEÑAL[#All],2,0),"")</f>
        <v/>
      </c>
    </row>
    <row r="363" spans="1:22" x14ac:dyDescent="0.25">
      <c r="A363" s="26" t="s">
        <v>1154</v>
      </c>
      <c r="B363" s="2" t="s">
        <v>8</v>
      </c>
      <c r="C363" s="2" t="s">
        <v>89</v>
      </c>
      <c r="D363" s="2" t="s">
        <v>109</v>
      </c>
      <c r="E363" s="2" t="s">
        <v>1381</v>
      </c>
      <c r="J363"/>
      <c r="K363"/>
      <c r="L36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3" s="13" t="str">
        <f>VLOOKUP(Tabla3[[#This Row],[Tipo]],TIPO[#All],2,0)</f>
        <v>ET</v>
      </c>
      <c r="O363" s="13" t="str">
        <f>VLOOKUP(Tabla3[[#This Row],[Lugar]],LUGAR[#All],2,0)</f>
        <v>VMN</v>
      </c>
      <c r="P363" s="13" t="str">
        <f>Tabla3[[#This Row],[SIGLAS]]</f>
        <v>TR3</v>
      </c>
      <c r="Q363" s="13" t="str">
        <f>_xlfn.IFNA(VLOOKUP(Tabla3[[#This Row],[Nivel de tension]],NIVEL[#All],2,0),"")</f>
        <v/>
      </c>
      <c r="R363" s="13" t="str">
        <f>_xlfn.IFNA(VLOOKUP(Tabla3[[#This Row],[DISPOSITIVO]],DISPOSITIVO[],2,0),"")</f>
        <v/>
      </c>
      <c r="S363" s="13" t="str">
        <f>_xlfn.IFNA(VLOOKUP(Tabla3[[#This Row],[PROTECCION SECUNDARIA]],PROTECCION_SECUNDARIA[],2,0),"")</f>
        <v/>
      </c>
      <c r="T363" s="13" t="str">
        <f>_xlfn.IFNA(VLOOKUP(Tabla3[[#This Row],[Que]],QUE[#All],2,0),"")</f>
        <v/>
      </c>
      <c r="U363" s="13" t="str">
        <f>_xlfn.IFNA(VLOOKUP(Tabla3[[#This Row],[Señal]],SEÑAL[#All],2,0),"")</f>
        <v/>
      </c>
      <c r="V363" s="13" t="str">
        <f>_xlfn.IFNA(VLOOKUP(Tabla3[[#This Row],[NUMERO]],SEÑAL[#All],2,0),"")</f>
        <v/>
      </c>
    </row>
    <row r="364" spans="1:22" x14ac:dyDescent="0.25">
      <c r="A364" s="26" t="s">
        <v>1155</v>
      </c>
      <c r="B364" s="2" t="s">
        <v>8</v>
      </c>
      <c r="C364" s="2" t="s">
        <v>89</v>
      </c>
      <c r="D364" s="2" t="s">
        <v>109</v>
      </c>
      <c r="E364" s="2" t="s">
        <v>1381</v>
      </c>
      <c r="J364"/>
      <c r="K364"/>
      <c r="L36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4" s="13" t="str">
        <f>VLOOKUP(Tabla3[[#This Row],[Tipo]],TIPO[#All],2,0)</f>
        <v>ET</v>
      </c>
      <c r="O364" s="13" t="str">
        <f>VLOOKUP(Tabla3[[#This Row],[Lugar]],LUGAR[#All],2,0)</f>
        <v>VMN</v>
      </c>
      <c r="P364" s="13" t="str">
        <f>Tabla3[[#This Row],[SIGLAS]]</f>
        <v>TR3</v>
      </c>
      <c r="Q364" s="13" t="str">
        <f>_xlfn.IFNA(VLOOKUP(Tabla3[[#This Row],[Nivel de tension]],NIVEL[#All],2,0),"")</f>
        <v/>
      </c>
      <c r="R364" s="13" t="str">
        <f>_xlfn.IFNA(VLOOKUP(Tabla3[[#This Row],[DISPOSITIVO]],DISPOSITIVO[],2,0),"")</f>
        <v/>
      </c>
      <c r="S364" s="13" t="str">
        <f>_xlfn.IFNA(VLOOKUP(Tabla3[[#This Row],[PROTECCION SECUNDARIA]],PROTECCION_SECUNDARIA[],2,0),"")</f>
        <v/>
      </c>
      <c r="T364" s="13" t="str">
        <f>_xlfn.IFNA(VLOOKUP(Tabla3[[#This Row],[Que]],QUE[#All],2,0),"")</f>
        <v/>
      </c>
      <c r="U364" s="13" t="str">
        <f>_xlfn.IFNA(VLOOKUP(Tabla3[[#This Row],[Señal]],SEÑAL[#All],2,0),"")</f>
        <v/>
      </c>
      <c r="V364" s="13" t="str">
        <f>_xlfn.IFNA(VLOOKUP(Tabla3[[#This Row],[NUMERO]],SEÑAL[#All],2,0),"")</f>
        <v/>
      </c>
    </row>
    <row r="365" spans="1:22" x14ac:dyDescent="0.25">
      <c r="A365" s="26" t="s">
        <v>1040</v>
      </c>
      <c r="B365" s="2" t="s">
        <v>8</v>
      </c>
      <c r="C365" s="2" t="s">
        <v>89</v>
      </c>
      <c r="D365" s="2" t="s">
        <v>109</v>
      </c>
      <c r="E365" s="2" t="s">
        <v>1381</v>
      </c>
      <c r="J365"/>
      <c r="K365"/>
      <c r="L36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5" s="13" t="str">
        <f>VLOOKUP(Tabla3[[#This Row],[Tipo]],TIPO[#All],2,0)</f>
        <v>ET</v>
      </c>
      <c r="O365" s="13" t="str">
        <f>VLOOKUP(Tabla3[[#This Row],[Lugar]],LUGAR[#All],2,0)</f>
        <v>VMN</v>
      </c>
      <c r="P365" s="13" t="str">
        <f>Tabla3[[#This Row],[SIGLAS]]</f>
        <v>TR3</v>
      </c>
      <c r="Q365" s="13" t="str">
        <f>_xlfn.IFNA(VLOOKUP(Tabla3[[#This Row],[Nivel de tension]],NIVEL[#All],2,0),"")</f>
        <v/>
      </c>
      <c r="R365" s="13" t="str">
        <f>_xlfn.IFNA(VLOOKUP(Tabla3[[#This Row],[DISPOSITIVO]],DISPOSITIVO[],2,0),"")</f>
        <v/>
      </c>
      <c r="S365" s="13" t="str">
        <f>_xlfn.IFNA(VLOOKUP(Tabla3[[#This Row],[PROTECCION SECUNDARIA]],PROTECCION_SECUNDARIA[],2,0),"")</f>
        <v/>
      </c>
      <c r="T365" s="13" t="str">
        <f>_xlfn.IFNA(VLOOKUP(Tabla3[[#This Row],[Que]],QUE[#All],2,0),"")</f>
        <v/>
      </c>
      <c r="U365" s="13" t="str">
        <f>_xlfn.IFNA(VLOOKUP(Tabla3[[#This Row],[Señal]],SEÑAL[#All],2,0),"")</f>
        <v/>
      </c>
      <c r="V365" s="13" t="str">
        <f>_xlfn.IFNA(VLOOKUP(Tabla3[[#This Row],[NUMERO]],SEÑAL[#All],2,0),"")</f>
        <v/>
      </c>
    </row>
    <row r="366" spans="1:22" x14ac:dyDescent="0.25">
      <c r="A366" s="26" t="s">
        <v>1041</v>
      </c>
      <c r="B366" s="2" t="s">
        <v>8</v>
      </c>
      <c r="C366" s="2" t="s">
        <v>89</v>
      </c>
      <c r="D366" s="2" t="s">
        <v>109</v>
      </c>
      <c r="E366" s="2" t="s">
        <v>1381</v>
      </c>
      <c r="J366"/>
      <c r="K366"/>
      <c r="L36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6" s="13" t="str">
        <f>VLOOKUP(Tabla3[[#This Row],[Tipo]],TIPO[#All],2,0)</f>
        <v>ET</v>
      </c>
      <c r="O366" s="13" t="str">
        <f>VLOOKUP(Tabla3[[#This Row],[Lugar]],LUGAR[#All],2,0)</f>
        <v>VMN</v>
      </c>
      <c r="P366" s="13" t="str">
        <f>Tabla3[[#This Row],[SIGLAS]]</f>
        <v>TR3</v>
      </c>
      <c r="Q366" s="13" t="str">
        <f>_xlfn.IFNA(VLOOKUP(Tabla3[[#This Row],[Nivel de tension]],NIVEL[#All],2,0),"")</f>
        <v/>
      </c>
      <c r="R366" s="13" t="str">
        <f>_xlfn.IFNA(VLOOKUP(Tabla3[[#This Row],[DISPOSITIVO]],DISPOSITIVO[],2,0),"")</f>
        <v/>
      </c>
      <c r="S366" s="13" t="str">
        <f>_xlfn.IFNA(VLOOKUP(Tabla3[[#This Row],[PROTECCION SECUNDARIA]],PROTECCION_SECUNDARIA[],2,0),"")</f>
        <v/>
      </c>
      <c r="T366" s="13" t="str">
        <f>_xlfn.IFNA(VLOOKUP(Tabla3[[#This Row],[Que]],QUE[#All],2,0),"")</f>
        <v/>
      </c>
      <c r="U366" s="13" t="str">
        <f>_xlfn.IFNA(VLOOKUP(Tabla3[[#This Row],[Señal]],SEÑAL[#All],2,0),"")</f>
        <v/>
      </c>
      <c r="V366" s="13" t="str">
        <f>_xlfn.IFNA(VLOOKUP(Tabla3[[#This Row],[NUMERO]],SEÑAL[#All],2,0),"")</f>
        <v/>
      </c>
    </row>
    <row r="367" spans="1:22" x14ac:dyDescent="0.25">
      <c r="A367" s="26" t="s">
        <v>1042</v>
      </c>
      <c r="B367" s="2" t="s">
        <v>8</v>
      </c>
      <c r="C367" s="2" t="s">
        <v>89</v>
      </c>
      <c r="D367" s="2" t="s">
        <v>109</v>
      </c>
      <c r="E367" s="2" t="s">
        <v>1381</v>
      </c>
      <c r="J367"/>
      <c r="K367"/>
      <c r="L36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7" s="13" t="str">
        <f>VLOOKUP(Tabla3[[#This Row],[Tipo]],TIPO[#All],2,0)</f>
        <v>ET</v>
      </c>
      <c r="O367" s="13" t="str">
        <f>VLOOKUP(Tabla3[[#This Row],[Lugar]],LUGAR[#All],2,0)</f>
        <v>VMN</v>
      </c>
      <c r="P367" s="13" t="str">
        <f>Tabla3[[#This Row],[SIGLAS]]</f>
        <v>TR3</v>
      </c>
      <c r="Q367" s="13" t="str">
        <f>_xlfn.IFNA(VLOOKUP(Tabla3[[#This Row],[Nivel de tension]],NIVEL[#All],2,0),"")</f>
        <v/>
      </c>
      <c r="R367" s="13" t="str">
        <f>_xlfn.IFNA(VLOOKUP(Tabla3[[#This Row],[DISPOSITIVO]],DISPOSITIVO[],2,0),"")</f>
        <v/>
      </c>
      <c r="S367" s="13" t="str">
        <f>_xlfn.IFNA(VLOOKUP(Tabla3[[#This Row],[PROTECCION SECUNDARIA]],PROTECCION_SECUNDARIA[],2,0),"")</f>
        <v/>
      </c>
      <c r="T367" s="13" t="str">
        <f>_xlfn.IFNA(VLOOKUP(Tabla3[[#This Row],[Que]],QUE[#All],2,0),"")</f>
        <v/>
      </c>
      <c r="U367" s="13" t="str">
        <f>_xlfn.IFNA(VLOOKUP(Tabla3[[#This Row],[Señal]],SEÑAL[#All],2,0),"")</f>
        <v/>
      </c>
      <c r="V367" s="13" t="str">
        <f>_xlfn.IFNA(VLOOKUP(Tabla3[[#This Row],[NUMERO]],SEÑAL[#All],2,0),"")</f>
        <v/>
      </c>
    </row>
    <row r="368" spans="1:22" x14ac:dyDescent="0.25">
      <c r="A368" s="26" t="s">
        <v>1156</v>
      </c>
      <c r="B368" s="2" t="s">
        <v>8</v>
      </c>
      <c r="C368" s="2" t="s">
        <v>89</v>
      </c>
      <c r="D368" s="2" t="s">
        <v>109</v>
      </c>
      <c r="E368" s="2" t="s">
        <v>1381</v>
      </c>
      <c r="J368"/>
      <c r="K368"/>
      <c r="L36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8" s="13" t="str">
        <f>VLOOKUP(Tabla3[[#This Row],[Tipo]],TIPO[#All],2,0)</f>
        <v>ET</v>
      </c>
      <c r="O368" s="13" t="str">
        <f>VLOOKUP(Tabla3[[#This Row],[Lugar]],LUGAR[#All],2,0)</f>
        <v>VMN</v>
      </c>
      <c r="P368" s="13" t="str">
        <f>Tabla3[[#This Row],[SIGLAS]]</f>
        <v>TR3</v>
      </c>
      <c r="Q368" s="13" t="str">
        <f>_xlfn.IFNA(VLOOKUP(Tabla3[[#This Row],[Nivel de tension]],NIVEL[#All],2,0),"")</f>
        <v/>
      </c>
      <c r="R368" s="13" t="str">
        <f>_xlfn.IFNA(VLOOKUP(Tabla3[[#This Row],[DISPOSITIVO]],DISPOSITIVO[],2,0),"")</f>
        <v/>
      </c>
      <c r="S368" s="13" t="str">
        <f>_xlfn.IFNA(VLOOKUP(Tabla3[[#This Row],[PROTECCION SECUNDARIA]],PROTECCION_SECUNDARIA[],2,0),"")</f>
        <v/>
      </c>
      <c r="T368" s="13" t="str">
        <f>_xlfn.IFNA(VLOOKUP(Tabla3[[#This Row],[Que]],QUE[#All],2,0),"")</f>
        <v/>
      </c>
      <c r="U368" s="13" t="str">
        <f>_xlfn.IFNA(VLOOKUP(Tabla3[[#This Row],[Señal]],SEÑAL[#All],2,0),"")</f>
        <v/>
      </c>
      <c r="V368" s="13" t="str">
        <f>_xlfn.IFNA(VLOOKUP(Tabla3[[#This Row],[NUMERO]],SEÑAL[#All],2,0),"")</f>
        <v/>
      </c>
    </row>
    <row r="369" spans="1:22" x14ac:dyDescent="0.25">
      <c r="A369" s="26" t="s">
        <v>1157</v>
      </c>
      <c r="B369" s="2" t="s">
        <v>8</v>
      </c>
      <c r="C369" s="2" t="s">
        <v>89</v>
      </c>
      <c r="D369" s="2" t="s">
        <v>109</v>
      </c>
      <c r="E369" s="2" t="s">
        <v>1381</v>
      </c>
      <c r="J369"/>
      <c r="K369"/>
      <c r="L36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69" s="13" t="str">
        <f>VLOOKUP(Tabla3[[#This Row],[Tipo]],TIPO[#All],2,0)</f>
        <v>ET</v>
      </c>
      <c r="O369" s="13" t="str">
        <f>VLOOKUP(Tabla3[[#This Row],[Lugar]],LUGAR[#All],2,0)</f>
        <v>VMN</v>
      </c>
      <c r="P369" s="13" t="str">
        <f>Tabla3[[#This Row],[SIGLAS]]</f>
        <v>TR3</v>
      </c>
      <c r="Q369" s="13" t="str">
        <f>_xlfn.IFNA(VLOOKUP(Tabla3[[#This Row],[Nivel de tension]],NIVEL[#All],2,0),"")</f>
        <v/>
      </c>
      <c r="R369" s="13" t="str">
        <f>_xlfn.IFNA(VLOOKUP(Tabla3[[#This Row],[DISPOSITIVO]],DISPOSITIVO[],2,0),"")</f>
        <v/>
      </c>
      <c r="S369" s="13" t="str">
        <f>_xlfn.IFNA(VLOOKUP(Tabla3[[#This Row],[PROTECCION SECUNDARIA]],PROTECCION_SECUNDARIA[],2,0),"")</f>
        <v/>
      </c>
      <c r="T369" s="13" t="str">
        <f>_xlfn.IFNA(VLOOKUP(Tabla3[[#This Row],[Que]],QUE[#All],2,0),"")</f>
        <v/>
      </c>
      <c r="U369" s="13" t="str">
        <f>_xlfn.IFNA(VLOOKUP(Tabla3[[#This Row],[Señal]],SEÑAL[#All],2,0),"")</f>
        <v/>
      </c>
      <c r="V369" s="13" t="str">
        <f>_xlfn.IFNA(VLOOKUP(Tabla3[[#This Row],[NUMERO]],SEÑAL[#All],2,0),"")</f>
        <v/>
      </c>
    </row>
    <row r="370" spans="1:22" x14ac:dyDescent="0.25">
      <c r="A370" s="26" t="s">
        <v>1158</v>
      </c>
      <c r="B370" s="2" t="s">
        <v>8</v>
      </c>
      <c r="C370" s="2" t="s">
        <v>89</v>
      </c>
      <c r="D370" s="2" t="s">
        <v>109</v>
      </c>
      <c r="E370" s="2" t="s">
        <v>1381</v>
      </c>
      <c r="J370"/>
      <c r="K370"/>
      <c r="L37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0" s="13" t="str">
        <f>VLOOKUP(Tabla3[[#This Row],[Tipo]],TIPO[#All],2,0)</f>
        <v>ET</v>
      </c>
      <c r="O370" s="13" t="str">
        <f>VLOOKUP(Tabla3[[#This Row],[Lugar]],LUGAR[#All],2,0)</f>
        <v>VMN</v>
      </c>
      <c r="P370" s="13" t="str">
        <f>Tabla3[[#This Row],[SIGLAS]]</f>
        <v>TR3</v>
      </c>
      <c r="Q370" s="13" t="str">
        <f>_xlfn.IFNA(VLOOKUP(Tabla3[[#This Row],[Nivel de tension]],NIVEL[#All],2,0),"")</f>
        <v/>
      </c>
      <c r="R370" s="13" t="str">
        <f>_xlfn.IFNA(VLOOKUP(Tabla3[[#This Row],[DISPOSITIVO]],DISPOSITIVO[],2,0),"")</f>
        <v/>
      </c>
      <c r="S370" s="13" t="str">
        <f>_xlfn.IFNA(VLOOKUP(Tabla3[[#This Row],[PROTECCION SECUNDARIA]],PROTECCION_SECUNDARIA[],2,0),"")</f>
        <v/>
      </c>
      <c r="T370" s="13" t="str">
        <f>_xlfn.IFNA(VLOOKUP(Tabla3[[#This Row],[Que]],QUE[#All],2,0),"")</f>
        <v/>
      </c>
      <c r="U370" s="13" t="str">
        <f>_xlfn.IFNA(VLOOKUP(Tabla3[[#This Row],[Señal]],SEÑAL[#All],2,0),"")</f>
        <v/>
      </c>
      <c r="V370" s="13" t="str">
        <f>_xlfn.IFNA(VLOOKUP(Tabla3[[#This Row],[NUMERO]],SEÑAL[#All],2,0),"")</f>
        <v/>
      </c>
    </row>
    <row r="371" spans="1:22" x14ac:dyDescent="0.25">
      <c r="A371" s="26" t="s">
        <v>1159</v>
      </c>
      <c r="B371" s="2" t="s">
        <v>8</v>
      </c>
      <c r="C371" s="2" t="s">
        <v>89</v>
      </c>
      <c r="D371" s="2" t="s">
        <v>109</v>
      </c>
      <c r="E371" s="2" t="s">
        <v>1381</v>
      </c>
      <c r="J371"/>
      <c r="K371"/>
      <c r="L37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1" s="13" t="str">
        <f>VLOOKUP(Tabla3[[#This Row],[Tipo]],TIPO[#All],2,0)</f>
        <v>ET</v>
      </c>
      <c r="O371" s="13" t="str">
        <f>VLOOKUP(Tabla3[[#This Row],[Lugar]],LUGAR[#All],2,0)</f>
        <v>VMN</v>
      </c>
      <c r="P371" s="13" t="str">
        <f>Tabla3[[#This Row],[SIGLAS]]</f>
        <v>TR3</v>
      </c>
      <c r="Q371" s="13" t="str">
        <f>_xlfn.IFNA(VLOOKUP(Tabla3[[#This Row],[Nivel de tension]],NIVEL[#All],2,0),"")</f>
        <v/>
      </c>
      <c r="R371" s="13" t="str">
        <f>_xlfn.IFNA(VLOOKUP(Tabla3[[#This Row],[DISPOSITIVO]],DISPOSITIVO[],2,0),"")</f>
        <v/>
      </c>
      <c r="S371" s="13" t="str">
        <f>_xlfn.IFNA(VLOOKUP(Tabla3[[#This Row],[PROTECCION SECUNDARIA]],PROTECCION_SECUNDARIA[],2,0),"")</f>
        <v/>
      </c>
      <c r="T371" s="13" t="str">
        <f>_xlfn.IFNA(VLOOKUP(Tabla3[[#This Row],[Que]],QUE[#All],2,0),"")</f>
        <v/>
      </c>
      <c r="U371" s="13" t="str">
        <f>_xlfn.IFNA(VLOOKUP(Tabla3[[#This Row],[Señal]],SEÑAL[#All],2,0),"")</f>
        <v/>
      </c>
      <c r="V371" s="13" t="str">
        <f>_xlfn.IFNA(VLOOKUP(Tabla3[[#This Row],[NUMERO]],SEÑAL[#All],2,0),"")</f>
        <v/>
      </c>
    </row>
    <row r="372" spans="1:22" x14ac:dyDescent="0.25">
      <c r="A372" s="26" t="s">
        <v>1160</v>
      </c>
      <c r="B372" s="2" t="s">
        <v>8</v>
      </c>
      <c r="C372" s="2" t="s">
        <v>89</v>
      </c>
      <c r="D372" s="2" t="s">
        <v>109</v>
      </c>
      <c r="E372" s="2" t="s">
        <v>1381</v>
      </c>
      <c r="J372"/>
      <c r="K372"/>
      <c r="L37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2" s="13" t="str">
        <f>VLOOKUP(Tabla3[[#This Row],[Tipo]],TIPO[#All],2,0)</f>
        <v>ET</v>
      </c>
      <c r="O372" s="13" t="str">
        <f>VLOOKUP(Tabla3[[#This Row],[Lugar]],LUGAR[#All],2,0)</f>
        <v>VMN</v>
      </c>
      <c r="P372" s="13" t="str">
        <f>Tabla3[[#This Row],[SIGLAS]]</f>
        <v>TR3</v>
      </c>
      <c r="Q372" s="13" t="str">
        <f>_xlfn.IFNA(VLOOKUP(Tabla3[[#This Row],[Nivel de tension]],NIVEL[#All],2,0),"")</f>
        <v/>
      </c>
      <c r="R372" s="13" t="str">
        <f>_xlfn.IFNA(VLOOKUP(Tabla3[[#This Row],[DISPOSITIVO]],DISPOSITIVO[],2,0),"")</f>
        <v/>
      </c>
      <c r="S372" s="13" t="str">
        <f>_xlfn.IFNA(VLOOKUP(Tabla3[[#This Row],[PROTECCION SECUNDARIA]],PROTECCION_SECUNDARIA[],2,0),"")</f>
        <v/>
      </c>
      <c r="T372" s="13" t="str">
        <f>_xlfn.IFNA(VLOOKUP(Tabla3[[#This Row],[Que]],QUE[#All],2,0),"")</f>
        <v/>
      </c>
      <c r="U372" s="13" t="str">
        <f>_xlfn.IFNA(VLOOKUP(Tabla3[[#This Row],[Señal]],SEÑAL[#All],2,0),"")</f>
        <v/>
      </c>
      <c r="V372" s="13" t="str">
        <f>_xlfn.IFNA(VLOOKUP(Tabla3[[#This Row],[NUMERO]],SEÑAL[#All],2,0),"")</f>
        <v/>
      </c>
    </row>
    <row r="373" spans="1:22" x14ac:dyDescent="0.25">
      <c r="A373" s="26" t="s">
        <v>1161</v>
      </c>
      <c r="B373" s="2" t="s">
        <v>8</v>
      </c>
      <c r="C373" s="2" t="s">
        <v>89</v>
      </c>
      <c r="D373" s="2" t="s">
        <v>109</v>
      </c>
      <c r="E373" s="2" t="s">
        <v>1381</v>
      </c>
      <c r="J373"/>
      <c r="K373"/>
      <c r="L37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3" s="13" t="str">
        <f>VLOOKUP(Tabla3[[#This Row],[Tipo]],TIPO[#All],2,0)</f>
        <v>ET</v>
      </c>
      <c r="O373" s="13" t="str">
        <f>VLOOKUP(Tabla3[[#This Row],[Lugar]],LUGAR[#All],2,0)</f>
        <v>VMN</v>
      </c>
      <c r="P373" s="13" t="str">
        <f>Tabla3[[#This Row],[SIGLAS]]</f>
        <v>TR3</v>
      </c>
      <c r="Q373" s="13" t="str">
        <f>_xlfn.IFNA(VLOOKUP(Tabla3[[#This Row],[Nivel de tension]],NIVEL[#All],2,0),"")</f>
        <v/>
      </c>
      <c r="R373" s="13" t="str">
        <f>_xlfn.IFNA(VLOOKUP(Tabla3[[#This Row],[DISPOSITIVO]],DISPOSITIVO[],2,0),"")</f>
        <v/>
      </c>
      <c r="S373" s="13" t="str">
        <f>_xlfn.IFNA(VLOOKUP(Tabla3[[#This Row],[PROTECCION SECUNDARIA]],PROTECCION_SECUNDARIA[],2,0),"")</f>
        <v/>
      </c>
      <c r="T373" s="13" t="str">
        <f>_xlfn.IFNA(VLOOKUP(Tabla3[[#This Row],[Que]],QUE[#All],2,0),"")</f>
        <v/>
      </c>
      <c r="U373" s="13" t="str">
        <f>_xlfn.IFNA(VLOOKUP(Tabla3[[#This Row],[Señal]],SEÑAL[#All],2,0),"")</f>
        <v/>
      </c>
      <c r="V373" s="13" t="str">
        <f>_xlfn.IFNA(VLOOKUP(Tabla3[[#This Row],[NUMERO]],SEÑAL[#All],2,0),"")</f>
        <v/>
      </c>
    </row>
    <row r="374" spans="1:22" x14ac:dyDescent="0.25">
      <c r="A374" s="26" t="s">
        <v>1162</v>
      </c>
      <c r="B374" s="2" t="s">
        <v>8</v>
      </c>
      <c r="C374" s="2" t="s">
        <v>89</v>
      </c>
      <c r="D374" s="2" t="s">
        <v>109</v>
      </c>
      <c r="E374" s="2" t="s">
        <v>1381</v>
      </c>
      <c r="J374"/>
      <c r="K374"/>
      <c r="L37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4" s="13" t="str">
        <f>VLOOKUP(Tabla3[[#This Row],[Tipo]],TIPO[#All],2,0)</f>
        <v>ET</v>
      </c>
      <c r="O374" s="13" t="str">
        <f>VLOOKUP(Tabla3[[#This Row],[Lugar]],LUGAR[#All],2,0)</f>
        <v>VMN</v>
      </c>
      <c r="P374" s="13" t="str">
        <f>Tabla3[[#This Row],[SIGLAS]]</f>
        <v>TR3</v>
      </c>
      <c r="Q374" s="13" t="str">
        <f>_xlfn.IFNA(VLOOKUP(Tabla3[[#This Row],[Nivel de tension]],NIVEL[#All],2,0),"")</f>
        <v/>
      </c>
      <c r="R374" s="13" t="str">
        <f>_xlfn.IFNA(VLOOKUP(Tabla3[[#This Row],[DISPOSITIVO]],DISPOSITIVO[],2,0),"")</f>
        <v/>
      </c>
      <c r="S374" s="13" t="str">
        <f>_xlfn.IFNA(VLOOKUP(Tabla3[[#This Row],[PROTECCION SECUNDARIA]],PROTECCION_SECUNDARIA[],2,0),"")</f>
        <v/>
      </c>
      <c r="T374" s="13" t="str">
        <f>_xlfn.IFNA(VLOOKUP(Tabla3[[#This Row],[Que]],QUE[#All],2,0),"")</f>
        <v/>
      </c>
      <c r="U374" s="13" t="str">
        <f>_xlfn.IFNA(VLOOKUP(Tabla3[[#This Row],[Señal]],SEÑAL[#All],2,0),"")</f>
        <v/>
      </c>
      <c r="V374" s="13" t="str">
        <f>_xlfn.IFNA(VLOOKUP(Tabla3[[#This Row],[NUMERO]],SEÑAL[#All],2,0),"")</f>
        <v/>
      </c>
    </row>
    <row r="375" spans="1:22" x14ac:dyDescent="0.25">
      <c r="A375" s="26" t="s">
        <v>1163</v>
      </c>
      <c r="B375" s="2" t="s">
        <v>8</v>
      </c>
      <c r="C375" s="2" t="s">
        <v>89</v>
      </c>
      <c r="D375" s="2" t="s">
        <v>109</v>
      </c>
      <c r="E375" s="2" t="s">
        <v>1381</v>
      </c>
      <c r="J375"/>
      <c r="K375"/>
      <c r="L37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5" s="13" t="str">
        <f>VLOOKUP(Tabla3[[#This Row],[Tipo]],TIPO[#All],2,0)</f>
        <v>ET</v>
      </c>
      <c r="O375" s="13" t="str">
        <f>VLOOKUP(Tabla3[[#This Row],[Lugar]],LUGAR[#All],2,0)</f>
        <v>VMN</v>
      </c>
      <c r="P375" s="13" t="str">
        <f>Tabla3[[#This Row],[SIGLAS]]</f>
        <v>TR3</v>
      </c>
      <c r="Q375" s="13" t="str">
        <f>_xlfn.IFNA(VLOOKUP(Tabla3[[#This Row],[Nivel de tension]],NIVEL[#All],2,0),"")</f>
        <v/>
      </c>
      <c r="R375" s="13" t="str">
        <f>_xlfn.IFNA(VLOOKUP(Tabla3[[#This Row],[DISPOSITIVO]],DISPOSITIVO[],2,0),"")</f>
        <v/>
      </c>
      <c r="S375" s="13" t="str">
        <f>_xlfn.IFNA(VLOOKUP(Tabla3[[#This Row],[PROTECCION SECUNDARIA]],PROTECCION_SECUNDARIA[],2,0),"")</f>
        <v/>
      </c>
      <c r="T375" s="13" t="str">
        <f>_xlfn.IFNA(VLOOKUP(Tabla3[[#This Row],[Que]],QUE[#All],2,0),"")</f>
        <v/>
      </c>
      <c r="U375" s="13" t="str">
        <f>_xlfn.IFNA(VLOOKUP(Tabla3[[#This Row],[Señal]],SEÑAL[#All],2,0),"")</f>
        <v/>
      </c>
      <c r="V375" s="13" t="str">
        <f>_xlfn.IFNA(VLOOKUP(Tabla3[[#This Row],[NUMERO]],SEÑAL[#All],2,0),"")</f>
        <v/>
      </c>
    </row>
    <row r="376" spans="1:22" x14ac:dyDescent="0.25">
      <c r="A376" s="26" t="s">
        <v>1164</v>
      </c>
      <c r="B376" s="2" t="s">
        <v>8</v>
      </c>
      <c r="C376" s="2" t="s">
        <v>89</v>
      </c>
      <c r="D376" s="2" t="s">
        <v>109</v>
      </c>
      <c r="E376" s="2" t="s">
        <v>1381</v>
      </c>
      <c r="J376"/>
      <c r="K376"/>
      <c r="L37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6" s="13" t="str">
        <f>VLOOKUP(Tabla3[[#This Row],[Tipo]],TIPO[#All],2,0)</f>
        <v>ET</v>
      </c>
      <c r="O376" s="13" t="str">
        <f>VLOOKUP(Tabla3[[#This Row],[Lugar]],LUGAR[#All],2,0)</f>
        <v>VMN</v>
      </c>
      <c r="P376" s="13" t="str">
        <f>Tabla3[[#This Row],[SIGLAS]]</f>
        <v>TR3</v>
      </c>
      <c r="Q376" s="13" t="str">
        <f>_xlfn.IFNA(VLOOKUP(Tabla3[[#This Row],[Nivel de tension]],NIVEL[#All],2,0),"")</f>
        <v/>
      </c>
      <c r="R376" s="13" t="str">
        <f>_xlfn.IFNA(VLOOKUP(Tabla3[[#This Row],[DISPOSITIVO]],DISPOSITIVO[],2,0),"")</f>
        <v/>
      </c>
      <c r="S376" s="13" t="str">
        <f>_xlfn.IFNA(VLOOKUP(Tabla3[[#This Row],[PROTECCION SECUNDARIA]],PROTECCION_SECUNDARIA[],2,0),"")</f>
        <v/>
      </c>
      <c r="T376" s="13" t="str">
        <f>_xlfn.IFNA(VLOOKUP(Tabla3[[#This Row],[Que]],QUE[#All],2,0),"")</f>
        <v/>
      </c>
      <c r="U376" s="13" t="str">
        <f>_xlfn.IFNA(VLOOKUP(Tabla3[[#This Row],[Señal]],SEÑAL[#All],2,0),"")</f>
        <v/>
      </c>
      <c r="V376" s="13" t="str">
        <f>_xlfn.IFNA(VLOOKUP(Tabla3[[#This Row],[NUMERO]],SEÑAL[#All],2,0),"")</f>
        <v/>
      </c>
    </row>
    <row r="377" spans="1:22" x14ac:dyDescent="0.25">
      <c r="A377" s="26" t="s">
        <v>1165</v>
      </c>
      <c r="B377" s="2" t="s">
        <v>8</v>
      </c>
      <c r="C377" s="2" t="s">
        <v>89</v>
      </c>
      <c r="D377" s="2" t="s">
        <v>109</v>
      </c>
      <c r="E377" s="2" t="s">
        <v>1381</v>
      </c>
      <c r="J377"/>
      <c r="K377"/>
      <c r="L37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7" s="13" t="str">
        <f>VLOOKUP(Tabla3[[#This Row],[Tipo]],TIPO[#All],2,0)</f>
        <v>ET</v>
      </c>
      <c r="O377" s="13" t="str">
        <f>VLOOKUP(Tabla3[[#This Row],[Lugar]],LUGAR[#All],2,0)</f>
        <v>VMN</v>
      </c>
      <c r="P377" s="13" t="str">
        <f>Tabla3[[#This Row],[SIGLAS]]</f>
        <v>TR3</v>
      </c>
      <c r="Q377" s="13" t="str">
        <f>_xlfn.IFNA(VLOOKUP(Tabla3[[#This Row],[Nivel de tension]],NIVEL[#All],2,0),"")</f>
        <v/>
      </c>
      <c r="R377" s="13" t="str">
        <f>_xlfn.IFNA(VLOOKUP(Tabla3[[#This Row],[DISPOSITIVO]],DISPOSITIVO[],2,0),"")</f>
        <v/>
      </c>
      <c r="S377" s="13" t="str">
        <f>_xlfn.IFNA(VLOOKUP(Tabla3[[#This Row],[PROTECCION SECUNDARIA]],PROTECCION_SECUNDARIA[],2,0),"")</f>
        <v/>
      </c>
      <c r="T377" s="13" t="str">
        <f>_xlfn.IFNA(VLOOKUP(Tabla3[[#This Row],[Que]],QUE[#All],2,0),"")</f>
        <v/>
      </c>
      <c r="U377" s="13" t="str">
        <f>_xlfn.IFNA(VLOOKUP(Tabla3[[#This Row],[Señal]],SEÑAL[#All],2,0),"")</f>
        <v/>
      </c>
      <c r="V377" s="13" t="str">
        <f>_xlfn.IFNA(VLOOKUP(Tabla3[[#This Row],[NUMERO]],SEÑAL[#All],2,0),"")</f>
        <v/>
      </c>
    </row>
    <row r="378" spans="1:22" x14ac:dyDescent="0.25">
      <c r="A378" s="26" t="s">
        <v>1166</v>
      </c>
      <c r="B378" s="2" t="s">
        <v>8</v>
      </c>
      <c r="C378" s="2" t="s">
        <v>89</v>
      </c>
      <c r="D378" s="2" t="s">
        <v>109</v>
      </c>
      <c r="E378" s="2" t="s">
        <v>1381</v>
      </c>
      <c r="J378"/>
      <c r="K378"/>
      <c r="L37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8" s="13" t="str">
        <f>VLOOKUP(Tabla3[[#This Row],[Tipo]],TIPO[#All],2,0)</f>
        <v>ET</v>
      </c>
      <c r="O378" s="13" t="str">
        <f>VLOOKUP(Tabla3[[#This Row],[Lugar]],LUGAR[#All],2,0)</f>
        <v>VMN</v>
      </c>
      <c r="P378" s="13" t="str">
        <f>Tabla3[[#This Row],[SIGLAS]]</f>
        <v>TR3</v>
      </c>
      <c r="Q378" s="13" t="str">
        <f>_xlfn.IFNA(VLOOKUP(Tabla3[[#This Row],[Nivel de tension]],NIVEL[#All],2,0),"")</f>
        <v/>
      </c>
      <c r="R378" s="13" t="str">
        <f>_xlfn.IFNA(VLOOKUP(Tabla3[[#This Row],[DISPOSITIVO]],DISPOSITIVO[],2,0),"")</f>
        <v/>
      </c>
      <c r="S378" s="13" t="str">
        <f>_xlfn.IFNA(VLOOKUP(Tabla3[[#This Row],[PROTECCION SECUNDARIA]],PROTECCION_SECUNDARIA[],2,0),"")</f>
        <v/>
      </c>
      <c r="T378" s="13" t="str">
        <f>_xlfn.IFNA(VLOOKUP(Tabla3[[#This Row],[Que]],QUE[#All],2,0),"")</f>
        <v/>
      </c>
      <c r="U378" s="13" t="str">
        <f>_xlfn.IFNA(VLOOKUP(Tabla3[[#This Row],[Señal]],SEÑAL[#All],2,0),"")</f>
        <v/>
      </c>
      <c r="V378" s="13" t="str">
        <f>_xlfn.IFNA(VLOOKUP(Tabla3[[#This Row],[NUMERO]],SEÑAL[#All],2,0),"")</f>
        <v/>
      </c>
    </row>
    <row r="379" spans="1:22" x14ac:dyDescent="0.25">
      <c r="A379" s="26" t="s">
        <v>1167</v>
      </c>
      <c r="B379" s="2" t="s">
        <v>8</v>
      </c>
      <c r="C379" s="2" t="s">
        <v>89</v>
      </c>
      <c r="D379" s="2" t="s">
        <v>109</v>
      </c>
      <c r="E379" s="2" t="s">
        <v>1381</v>
      </c>
      <c r="J379"/>
      <c r="K379"/>
      <c r="L37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79" s="13" t="str">
        <f>VLOOKUP(Tabla3[[#This Row],[Tipo]],TIPO[#All],2,0)</f>
        <v>ET</v>
      </c>
      <c r="O379" s="13" t="str">
        <f>VLOOKUP(Tabla3[[#This Row],[Lugar]],LUGAR[#All],2,0)</f>
        <v>VMN</v>
      </c>
      <c r="P379" s="13" t="str">
        <f>Tabla3[[#This Row],[SIGLAS]]</f>
        <v>TR3</v>
      </c>
      <c r="Q379" s="13" t="str">
        <f>_xlfn.IFNA(VLOOKUP(Tabla3[[#This Row],[Nivel de tension]],NIVEL[#All],2,0),"")</f>
        <v/>
      </c>
      <c r="R379" s="13" t="str">
        <f>_xlfn.IFNA(VLOOKUP(Tabla3[[#This Row],[DISPOSITIVO]],DISPOSITIVO[],2,0),"")</f>
        <v/>
      </c>
      <c r="S379" s="13" t="str">
        <f>_xlfn.IFNA(VLOOKUP(Tabla3[[#This Row],[PROTECCION SECUNDARIA]],PROTECCION_SECUNDARIA[],2,0),"")</f>
        <v/>
      </c>
      <c r="T379" s="13" t="str">
        <f>_xlfn.IFNA(VLOOKUP(Tabla3[[#This Row],[Que]],QUE[#All],2,0),"")</f>
        <v/>
      </c>
      <c r="U379" s="13" t="str">
        <f>_xlfn.IFNA(VLOOKUP(Tabla3[[#This Row],[Señal]],SEÑAL[#All],2,0),"")</f>
        <v/>
      </c>
      <c r="V379" s="13" t="str">
        <f>_xlfn.IFNA(VLOOKUP(Tabla3[[#This Row],[NUMERO]],SEÑAL[#All],2,0),"")</f>
        <v/>
      </c>
    </row>
    <row r="380" spans="1:22" x14ac:dyDescent="0.25">
      <c r="A380" s="26" t="s">
        <v>1168</v>
      </c>
      <c r="B380" s="2" t="s">
        <v>8</v>
      </c>
      <c r="C380" s="2" t="s">
        <v>89</v>
      </c>
      <c r="D380" s="2" t="s">
        <v>109</v>
      </c>
      <c r="E380" s="2" t="s">
        <v>1381</v>
      </c>
      <c r="J380"/>
      <c r="K380"/>
      <c r="L38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0" s="13" t="str">
        <f>VLOOKUP(Tabla3[[#This Row],[Tipo]],TIPO[#All],2,0)</f>
        <v>ET</v>
      </c>
      <c r="O380" s="13" t="str">
        <f>VLOOKUP(Tabla3[[#This Row],[Lugar]],LUGAR[#All],2,0)</f>
        <v>VMN</v>
      </c>
      <c r="P380" s="13" t="str">
        <f>Tabla3[[#This Row],[SIGLAS]]</f>
        <v>TR3</v>
      </c>
      <c r="Q380" s="13" t="str">
        <f>_xlfn.IFNA(VLOOKUP(Tabla3[[#This Row],[Nivel de tension]],NIVEL[#All],2,0),"")</f>
        <v/>
      </c>
      <c r="R380" s="13" t="str">
        <f>_xlfn.IFNA(VLOOKUP(Tabla3[[#This Row],[DISPOSITIVO]],DISPOSITIVO[],2,0),"")</f>
        <v/>
      </c>
      <c r="S380" s="13" t="str">
        <f>_xlfn.IFNA(VLOOKUP(Tabla3[[#This Row],[PROTECCION SECUNDARIA]],PROTECCION_SECUNDARIA[],2,0),"")</f>
        <v/>
      </c>
      <c r="T380" s="13" t="str">
        <f>_xlfn.IFNA(VLOOKUP(Tabla3[[#This Row],[Que]],QUE[#All],2,0),"")</f>
        <v/>
      </c>
      <c r="U380" s="13" t="str">
        <f>_xlfn.IFNA(VLOOKUP(Tabla3[[#This Row],[Señal]],SEÑAL[#All],2,0),"")</f>
        <v/>
      </c>
      <c r="V380" s="13" t="str">
        <f>_xlfn.IFNA(VLOOKUP(Tabla3[[#This Row],[NUMERO]],SEÑAL[#All],2,0),"")</f>
        <v/>
      </c>
    </row>
    <row r="381" spans="1:22" x14ac:dyDescent="0.25">
      <c r="A381" s="26" t="s">
        <v>1169</v>
      </c>
      <c r="B381" s="2" t="s">
        <v>8</v>
      </c>
      <c r="C381" s="2" t="s">
        <v>89</v>
      </c>
      <c r="D381" s="2" t="s">
        <v>109</v>
      </c>
      <c r="E381" s="2" t="s">
        <v>1381</v>
      </c>
      <c r="J381"/>
      <c r="K381"/>
      <c r="L38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1" s="13" t="str">
        <f>VLOOKUP(Tabla3[[#This Row],[Tipo]],TIPO[#All],2,0)</f>
        <v>ET</v>
      </c>
      <c r="O381" s="13" t="str">
        <f>VLOOKUP(Tabla3[[#This Row],[Lugar]],LUGAR[#All],2,0)</f>
        <v>VMN</v>
      </c>
      <c r="P381" s="13" t="str">
        <f>Tabla3[[#This Row],[SIGLAS]]</f>
        <v>TR3</v>
      </c>
      <c r="Q381" s="13" t="str">
        <f>_xlfn.IFNA(VLOOKUP(Tabla3[[#This Row],[Nivel de tension]],NIVEL[#All],2,0),"")</f>
        <v/>
      </c>
      <c r="R381" s="13" t="str">
        <f>_xlfn.IFNA(VLOOKUP(Tabla3[[#This Row],[DISPOSITIVO]],DISPOSITIVO[],2,0),"")</f>
        <v/>
      </c>
      <c r="S381" s="13" t="str">
        <f>_xlfn.IFNA(VLOOKUP(Tabla3[[#This Row],[PROTECCION SECUNDARIA]],PROTECCION_SECUNDARIA[],2,0),"")</f>
        <v/>
      </c>
      <c r="T381" s="13" t="str">
        <f>_xlfn.IFNA(VLOOKUP(Tabla3[[#This Row],[Que]],QUE[#All],2,0),"")</f>
        <v/>
      </c>
      <c r="U381" s="13" t="str">
        <f>_xlfn.IFNA(VLOOKUP(Tabla3[[#This Row],[Señal]],SEÑAL[#All],2,0),"")</f>
        <v/>
      </c>
      <c r="V381" s="13" t="str">
        <f>_xlfn.IFNA(VLOOKUP(Tabla3[[#This Row],[NUMERO]],SEÑAL[#All],2,0),"")</f>
        <v/>
      </c>
    </row>
    <row r="382" spans="1:22" x14ac:dyDescent="0.25">
      <c r="A382" s="26" t="s">
        <v>1170</v>
      </c>
      <c r="B382" s="2" t="s">
        <v>8</v>
      </c>
      <c r="C382" s="2" t="s">
        <v>89</v>
      </c>
      <c r="D382" s="2" t="s">
        <v>109</v>
      </c>
      <c r="E382" s="2" t="s">
        <v>1381</v>
      </c>
      <c r="J382"/>
      <c r="K382"/>
      <c r="L38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2" s="13" t="str">
        <f>VLOOKUP(Tabla3[[#This Row],[Tipo]],TIPO[#All],2,0)</f>
        <v>ET</v>
      </c>
      <c r="O382" s="13" t="str">
        <f>VLOOKUP(Tabla3[[#This Row],[Lugar]],LUGAR[#All],2,0)</f>
        <v>VMN</v>
      </c>
      <c r="P382" s="13" t="str">
        <f>Tabla3[[#This Row],[SIGLAS]]</f>
        <v>TR3</v>
      </c>
      <c r="Q382" s="13" t="str">
        <f>_xlfn.IFNA(VLOOKUP(Tabla3[[#This Row],[Nivel de tension]],NIVEL[#All],2,0),"")</f>
        <v/>
      </c>
      <c r="R382" s="13" t="str">
        <f>_xlfn.IFNA(VLOOKUP(Tabla3[[#This Row],[DISPOSITIVO]],DISPOSITIVO[],2,0),"")</f>
        <v/>
      </c>
      <c r="S382" s="13" t="str">
        <f>_xlfn.IFNA(VLOOKUP(Tabla3[[#This Row],[PROTECCION SECUNDARIA]],PROTECCION_SECUNDARIA[],2,0),"")</f>
        <v/>
      </c>
      <c r="T382" s="13" t="str">
        <f>_xlfn.IFNA(VLOOKUP(Tabla3[[#This Row],[Que]],QUE[#All],2,0),"")</f>
        <v/>
      </c>
      <c r="U382" s="13" t="str">
        <f>_xlfn.IFNA(VLOOKUP(Tabla3[[#This Row],[Señal]],SEÑAL[#All],2,0),"")</f>
        <v/>
      </c>
      <c r="V382" s="13" t="str">
        <f>_xlfn.IFNA(VLOOKUP(Tabla3[[#This Row],[NUMERO]],SEÑAL[#All],2,0),"")</f>
        <v/>
      </c>
    </row>
    <row r="383" spans="1:22" x14ac:dyDescent="0.25">
      <c r="A383" s="26" t="s">
        <v>1171</v>
      </c>
      <c r="B383" s="2" t="s">
        <v>8</v>
      </c>
      <c r="C383" s="2" t="s">
        <v>89</v>
      </c>
      <c r="D383" s="2" t="s">
        <v>109</v>
      </c>
      <c r="E383" s="2" t="s">
        <v>1381</v>
      </c>
      <c r="J383"/>
      <c r="K383"/>
      <c r="L38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3" s="13" t="str">
        <f>VLOOKUP(Tabla3[[#This Row],[Tipo]],TIPO[#All],2,0)</f>
        <v>ET</v>
      </c>
      <c r="O383" s="13" t="str">
        <f>VLOOKUP(Tabla3[[#This Row],[Lugar]],LUGAR[#All],2,0)</f>
        <v>VMN</v>
      </c>
      <c r="P383" s="13" t="str">
        <f>Tabla3[[#This Row],[SIGLAS]]</f>
        <v>TR3</v>
      </c>
      <c r="Q383" s="13" t="str">
        <f>_xlfn.IFNA(VLOOKUP(Tabla3[[#This Row],[Nivel de tension]],NIVEL[#All],2,0),"")</f>
        <v/>
      </c>
      <c r="R383" s="13" t="str">
        <f>_xlfn.IFNA(VLOOKUP(Tabla3[[#This Row],[DISPOSITIVO]],DISPOSITIVO[],2,0),"")</f>
        <v/>
      </c>
      <c r="S383" s="13" t="str">
        <f>_xlfn.IFNA(VLOOKUP(Tabla3[[#This Row],[PROTECCION SECUNDARIA]],PROTECCION_SECUNDARIA[],2,0),"")</f>
        <v/>
      </c>
      <c r="T383" s="13" t="str">
        <f>_xlfn.IFNA(VLOOKUP(Tabla3[[#This Row],[Que]],QUE[#All],2,0),"")</f>
        <v/>
      </c>
      <c r="U383" s="13" t="str">
        <f>_xlfn.IFNA(VLOOKUP(Tabla3[[#This Row],[Señal]],SEÑAL[#All],2,0),"")</f>
        <v/>
      </c>
      <c r="V383" s="13" t="str">
        <f>_xlfn.IFNA(VLOOKUP(Tabla3[[#This Row],[NUMERO]],SEÑAL[#All],2,0),"")</f>
        <v/>
      </c>
    </row>
    <row r="384" spans="1:22" x14ac:dyDescent="0.25">
      <c r="A384" s="26" t="s">
        <v>1172</v>
      </c>
      <c r="B384" s="2" t="s">
        <v>8</v>
      </c>
      <c r="C384" s="2" t="s">
        <v>89</v>
      </c>
      <c r="D384" s="2" t="s">
        <v>109</v>
      </c>
      <c r="E384" s="2" t="s">
        <v>1381</v>
      </c>
      <c r="J384"/>
      <c r="K384"/>
      <c r="L38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4" s="13" t="str">
        <f>VLOOKUP(Tabla3[[#This Row],[Tipo]],TIPO[#All],2,0)</f>
        <v>ET</v>
      </c>
      <c r="O384" s="13" t="str">
        <f>VLOOKUP(Tabla3[[#This Row],[Lugar]],LUGAR[#All],2,0)</f>
        <v>VMN</v>
      </c>
      <c r="P384" s="13" t="str">
        <f>Tabla3[[#This Row],[SIGLAS]]</f>
        <v>TR3</v>
      </c>
      <c r="Q384" s="13" t="str">
        <f>_xlfn.IFNA(VLOOKUP(Tabla3[[#This Row],[Nivel de tension]],NIVEL[#All],2,0),"")</f>
        <v/>
      </c>
      <c r="R384" s="13" t="str">
        <f>_xlfn.IFNA(VLOOKUP(Tabla3[[#This Row],[DISPOSITIVO]],DISPOSITIVO[],2,0),"")</f>
        <v/>
      </c>
      <c r="S384" s="13" t="str">
        <f>_xlfn.IFNA(VLOOKUP(Tabla3[[#This Row],[PROTECCION SECUNDARIA]],PROTECCION_SECUNDARIA[],2,0),"")</f>
        <v/>
      </c>
      <c r="T384" s="13" t="str">
        <f>_xlfn.IFNA(VLOOKUP(Tabla3[[#This Row],[Que]],QUE[#All],2,0),"")</f>
        <v/>
      </c>
      <c r="U384" s="13" t="str">
        <f>_xlfn.IFNA(VLOOKUP(Tabla3[[#This Row],[Señal]],SEÑAL[#All],2,0),"")</f>
        <v/>
      </c>
      <c r="V384" s="13" t="str">
        <f>_xlfn.IFNA(VLOOKUP(Tabla3[[#This Row],[NUMERO]],SEÑAL[#All],2,0),"")</f>
        <v/>
      </c>
    </row>
    <row r="385" spans="1:22" x14ac:dyDescent="0.25">
      <c r="A385" s="26" t="s">
        <v>1173</v>
      </c>
      <c r="B385" s="2" t="s">
        <v>8</v>
      </c>
      <c r="C385" s="2" t="s">
        <v>89</v>
      </c>
      <c r="D385" s="2" t="s">
        <v>109</v>
      </c>
      <c r="E385" s="2" t="s">
        <v>1381</v>
      </c>
      <c r="J385"/>
      <c r="K385"/>
      <c r="L38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5" s="13" t="str">
        <f>VLOOKUP(Tabla3[[#This Row],[Tipo]],TIPO[#All],2,0)</f>
        <v>ET</v>
      </c>
      <c r="O385" s="13" t="str">
        <f>VLOOKUP(Tabla3[[#This Row],[Lugar]],LUGAR[#All],2,0)</f>
        <v>VMN</v>
      </c>
      <c r="P385" s="13" t="str">
        <f>Tabla3[[#This Row],[SIGLAS]]</f>
        <v>TR3</v>
      </c>
      <c r="Q385" s="13" t="str">
        <f>_xlfn.IFNA(VLOOKUP(Tabla3[[#This Row],[Nivel de tension]],NIVEL[#All],2,0),"")</f>
        <v/>
      </c>
      <c r="R385" s="13" t="str">
        <f>_xlfn.IFNA(VLOOKUP(Tabla3[[#This Row],[DISPOSITIVO]],DISPOSITIVO[],2,0),"")</f>
        <v/>
      </c>
      <c r="S385" s="13" t="str">
        <f>_xlfn.IFNA(VLOOKUP(Tabla3[[#This Row],[PROTECCION SECUNDARIA]],PROTECCION_SECUNDARIA[],2,0),"")</f>
        <v/>
      </c>
      <c r="T385" s="13" t="str">
        <f>_xlfn.IFNA(VLOOKUP(Tabla3[[#This Row],[Que]],QUE[#All],2,0),"")</f>
        <v/>
      </c>
      <c r="U385" s="13" t="str">
        <f>_xlfn.IFNA(VLOOKUP(Tabla3[[#This Row],[Señal]],SEÑAL[#All],2,0),"")</f>
        <v/>
      </c>
      <c r="V385" s="13" t="str">
        <f>_xlfn.IFNA(VLOOKUP(Tabla3[[#This Row],[NUMERO]],SEÑAL[#All],2,0),"")</f>
        <v/>
      </c>
    </row>
    <row r="386" spans="1:22" x14ac:dyDescent="0.25">
      <c r="A386" s="26" t="s">
        <v>1174</v>
      </c>
      <c r="B386" s="2" t="s">
        <v>8</v>
      </c>
      <c r="C386" s="2" t="s">
        <v>89</v>
      </c>
      <c r="D386" s="2" t="s">
        <v>109</v>
      </c>
      <c r="E386" s="2" t="s">
        <v>1381</v>
      </c>
      <c r="J386"/>
      <c r="K386"/>
      <c r="L38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6" s="13" t="str">
        <f>VLOOKUP(Tabla3[[#This Row],[Tipo]],TIPO[#All],2,0)</f>
        <v>ET</v>
      </c>
      <c r="O386" s="13" t="str">
        <f>VLOOKUP(Tabla3[[#This Row],[Lugar]],LUGAR[#All],2,0)</f>
        <v>VMN</v>
      </c>
      <c r="P386" s="13" t="str">
        <f>Tabla3[[#This Row],[SIGLAS]]</f>
        <v>TR3</v>
      </c>
      <c r="Q386" s="13" t="str">
        <f>_xlfn.IFNA(VLOOKUP(Tabla3[[#This Row],[Nivel de tension]],NIVEL[#All],2,0),"")</f>
        <v/>
      </c>
      <c r="R386" s="13" t="str">
        <f>_xlfn.IFNA(VLOOKUP(Tabla3[[#This Row],[DISPOSITIVO]],DISPOSITIVO[],2,0),"")</f>
        <v/>
      </c>
      <c r="S386" s="13" t="str">
        <f>_xlfn.IFNA(VLOOKUP(Tabla3[[#This Row],[PROTECCION SECUNDARIA]],PROTECCION_SECUNDARIA[],2,0),"")</f>
        <v/>
      </c>
      <c r="T386" s="13" t="str">
        <f>_xlfn.IFNA(VLOOKUP(Tabla3[[#This Row],[Que]],QUE[#All],2,0),"")</f>
        <v/>
      </c>
      <c r="U386" s="13" t="str">
        <f>_xlfn.IFNA(VLOOKUP(Tabla3[[#This Row],[Señal]],SEÑAL[#All],2,0),"")</f>
        <v/>
      </c>
      <c r="V386" s="13" t="str">
        <f>_xlfn.IFNA(VLOOKUP(Tabla3[[#This Row],[NUMERO]],SEÑAL[#All],2,0),"")</f>
        <v/>
      </c>
    </row>
    <row r="387" spans="1:22" x14ac:dyDescent="0.25">
      <c r="A387" s="26" t="s">
        <v>1175</v>
      </c>
      <c r="B387" s="2" t="s">
        <v>8</v>
      </c>
      <c r="C387" s="2" t="s">
        <v>89</v>
      </c>
      <c r="D387" s="2" t="s">
        <v>109</v>
      </c>
      <c r="E387" s="2" t="s">
        <v>1381</v>
      </c>
      <c r="J387"/>
      <c r="K387"/>
      <c r="L38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7" s="13" t="str">
        <f>VLOOKUP(Tabla3[[#This Row],[Tipo]],TIPO[#All],2,0)</f>
        <v>ET</v>
      </c>
      <c r="O387" s="13" t="str">
        <f>VLOOKUP(Tabla3[[#This Row],[Lugar]],LUGAR[#All],2,0)</f>
        <v>VMN</v>
      </c>
      <c r="P387" s="13" t="str">
        <f>Tabla3[[#This Row],[SIGLAS]]</f>
        <v>TR3</v>
      </c>
      <c r="Q387" s="13" t="str">
        <f>_xlfn.IFNA(VLOOKUP(Tabla3[[#This Row],[Nivel de tension]],NIVEL[#All],2,0),"")</f>
        <v/>
      </c>
      <c r="R387" s="13" t="str">
        <f>_xlfn.IFNA(VLOOKUP(Tabla3[[#This Row],[DISPOSITIVO]],DISPOSITIVO[],2,0),"")</f>
        <v/>
      </c>
      <c r="S387" s="13" t="str">
        <f>_xlfn.IFNA(VLOOKUP(Tabla3[[#This Row],[PROTECCION SECUNDARIA]],PROTECCION_SECUNDARIA[],2,0),"")</f>
        <v/>
      </c>
      <c r="T387" s="13" t="str">
        <f>_xlfn.IFNA(VLOOKUP(Tabla3[[#This Row],[Que]],QUE[#All],2,0),"")</f>
        <v/>
      </c>
      <c r="U387" s="13" t="str">
        <f>_xlfn.IFNA(VLOOKUP(Tabla3[[#This Row],[Señal]],SEÑAL[#All],2,0),"")</f>
        <v/>
      </c>
      <c r="V387" s="13" t="str">
        <f>_xlfn.IFNA(VLOOKUP(Tabla3[[#This Row],[NUMERO]],SEÑAL[#All],2,0),"")</f>
        <v/>
      </c>
    </row>
    <row r="388" spans="1:22" x14ac:dyDescent="0.25">
      <c r="A388" s="26" t="s">
        <v>1176</v>
      </c>
      <c r="B388" s="2" t="s">
        <v>8</v>
      </c>
      <c r="C388" s="2" t="s">
        <v>89</v>
      </c>
      <c r="D388" s="2" t="s">
        <v>109</v>
      </c>
      <c r="E388" s="2" t="s">
        <v>1381</v>
      </c>
      <c r="J388"/>
      <c r="K388"/>
      <c r="L38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8" s="13" t="str">
        <f>VLOOKUP(Tabla3[[#This Row],[Tipo]],TIPO[#All],2,0)</f>
        <v>ET</v>
      </c>
      <c r="O388" s="13" t="str">
        <f>VLOOKUP(Tabla3[[#This Row],[Lugar]],LUGAR[#All],2,0)</f>
        <v>VMN</v>
      </c>
      <c r="P388" s="13" t="str">
        <f>Tabla3[[#This Row],[SIGLAS]]</f>
        <v>TR3</v>
      </c>
      <c r="Q388" s="13" t="str">
        <f>_xlfn.IFNA(VLOOKUP(Tabla3[[#This Row],[Nivel de tension]],NIVEL[#All],2,0),"")</f>
        <v/>
      </c>
      <c r="R388" s="13" t="str">
        <f>_xlfn.IFNA(VLOOKUP(Tabla3[[#This Row],[DISPOSITIVO]],DISPOSITIVO[],2,0),"")</f>
        <v/>
      </c>
      <c r="S388" s="13" t="str">
        <f>_xlfn.IFNA(VLOOKUP(Tabla3[[#This Row],[PROTECCION SECUNDARIA]],PROTECCION_SECUNDARIA[],2,0),"")</f>
        <v/>
      </c>
      <c r="T388" s="13" t="str">
        <f>_xlfn.IFNA(VLOOKUP(Tabla3[[#This Row],[Que]],QUE[#All],2,0),"")</f>
        <v/>
      </c>
      <c r="U388" s="13" t="str">
        <f>_xlfn.IFNA(VLOOKUP(Tabla3[[#This Row],[Señal]],SEÑAL[#All],2,0),"")</f>
        <v/>
      </c>
      <c r="V388" s="13" t="str">
        <f>_xlfn.IFNA(VLOOKUP(Tabla3[[#This Row],[NUMERO]],SEÑAL[#All],2,0),"")</f>
        <v/>
      </c>
    </row>
    <row r="389" spans="1:22" x14ac:dyDescent="0.25">
      <c r="A389" s="26" t="s">
        <v>1177</v>
      </c>
      <c r="B389" s="2" t="s">
        <v>8</v>
      </c>
      <c r="C389" s="2" t="s">
        <v>89</v>
      </c>
      <c r="D389" s="2" t="s">
        <v>109</v>
      </c>
      <c r="E389" s="2" t="s">
        <v>1381</v>
      </c>
      <c r="J389"/>
      <c r="K389"/>
      <c r="L38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89" s="13" t="str">
        <f>VLOOKUP(Tabla3[[#This Row],[Tipo]],TIPO[#All],2,0)</f>
        <v>ET</v>
      </c>
      <c r="O389" s="13" t="str">
        <f>VLOOKUP(Tabla3[[#This Row],[Lugar]],LUGAR[#All],2,0)</f>
        <v>VMN</v>
      </c>
      <c r="P389" s="13" t="str">
        <f>Tabla3[[#This Row],[SIGLAS]]</f>
        <v>TR3</v>
      </c>
      <c r="Q389" s="13" t="str">
        <f>_xlfn.IFNA(VLOOKUP(Tabla3[[#This Row],[Nivel de tension]],NIVEL[#All],2,0),"")</f>
        <v/>
      </c>
      <c r="R389" s="13" t="str">
        <f>_xlfn.IFNA(VLOOKUP(Tabla3[[#This Row],[DISPOSITIVO]],DISPOSITIVO[],2,0),"")</f>
        <v/>
      </c>
      <c r="S389" s="13" t="str">
        <f>_xlfn.IFNA(VLOOKUP(Tabla3[[#This Row],[PROTECCION SECUNDARIA]],PROTECCION_SECUNDARIA[],2,0),"")</f>
        <v/>
      </c>
      <c r="T389" s="13" t="str">
        <f>_xlfn.IFNA(VLOOKUP(Tabla3[[#This Row],[Que]],QUE[#All],2,0),"")</f>
        <v/>
      </c>
      <c r="U389" s="13" t="str">
        <f>_xlfn.IFNA(VLOOKUP(Tabla3[[#This Row],[Señal]],SEÑAL[#All],2,0),"")</f>
        <v/>
      </c>
      <c r="V389" s="13" t="str">
        <f>_xlfn.IFNA(VLOOKUP(Tabla3[[#This Row],[NUMERO]],SEÑAL[#All],2,0),"")</f>
        <v/>
      </c>
    </row>
    <row r="390" spans="1:22" x14ac:dyDescent="0.25">
      <c r="A390" s="26" t="s">
        <v>1178</v>
      </c>
      <c r="B390" s="2" t="s">
        <v>8</v>
      </c>
      <c r="C390" s="2" t="s">
        <v>89</v>
      </c>
      <c r="D390" s="2" t="s">
        <v>109</v>
      </c>
      <c r="E390" s="2" t="s">
        <v>1381</v>
      </c>
      <c r="J390"/>
      <c r="K390"/>
      <c r="L39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0" s="13" t="str">
        <f>VLOOKUP(Tabla3[[#This Row],[Tipo]],TIPO[#All],2,0)</f>
        <v>ET</v>
      </c>
      <c r="O390" s="13" t="str">
        <f>VLOOKUP(Tabla3[[#This Row],[Lugar]],LUGAR[#All],2,0)</f>
        <v>VMN</v>
      </c>
      <c r="P390" s="13" t="str">
        <f>Tabla3[[#This Row],[SIGLAS]]</f>
        <v>TR3</v>
      </c>
      <c r="Q390" s="13" t="str">
        <f>_xlfn.IFNA(VLOOKUP(Tabla3[[#This Row],[Nivel de tension]],NIVEL[#All],2,0),"")</f>
        <v/>
      </c>
      <c r="R390" s="13" t="str">
        <f>_xlfn.IFNA(VLOOKUP(Tabla3[[#This Row],[DISPOSITIVO]],DISPOSITIVO[],2,0),"")</f>
        <v/>
      </c>
      <c r="S390" s="13" t="str">
        <f>_xlfn.IFNA(VLOOKUP(Tabla3[[#This Row],[PROTECCION SECUNDARIA]],PROTECCION_SECUNDARIA[],2,0),"")</f>
        <v/>
      </c>
      <c r="T390" s="13" t="str">
        <f>_xlfn.IFNA(VLOOKUP(Tabla3[[#This Row],[Que]],QUE[#All],2,0),"")</f>
        <v/>
      </c>
      <c r="U390" s="13" t="str">
        <f>_xlfn.IFNA(VLOOKUP(Tabla3[[#This Row],[Señal]],SEÑAL[#All],2,0),"")</f>
        <v/>
      </c>
      <c r="V390" s="13" t="str">
        <f>_xlfn.IFNA(VLOOKUP(Tabla3[[#This Row],[NUMERO]],SEÑAL[#All],2,0),"")</f>
        <v/>
      </c>
    </row>
    <row r="391" spans="1:22" x14ac:dyDescent="0.25">
      <c r="A391" s="26" t="s">
        <v>1179</v>
      </c>
      <c r="B391" s="2" t="s">
        <v>8</v>
      </c>
      <c r="C391" s="2" t="s">
        <v>89</v>
      </c>
      <c r="D391" s="2" t="s">
        <v>109</v>
      </c>
      <c r="E391" s="2" t="s">
        <v>1381</v>
      </c>
      <c r="J391"/>
      <c r="K391"/>
      <c r="L39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1" s="13" t="str">
        <f>VLOOKUP(Tabla3[[#This Row],[Tipo]],TIPO[#All],2,0)</f>
        <v>ET</v>
      </c>
      <c r="O391" s="13" t="str">
        <f>VLOOKUP(Tabla3[[#This Row],[Lugar]],LUGAR[#All],2,0)</f>
        <v>VMN</v>
      </c>
      <c r="P391" s="13" t="str">
        <f>Tabla3[[#This Row],[SIGLAS]]</f>
        <v>TR3</v>
      </c>
      <c r="Q391" s="13" t="str">
        <f>_xlfn.IFNA(VLOOKUP(Tabla3[[#This Row],[Nivel de tension]],NIVEL[#All],2,0),"")</f>
        <v/>
      </c>
      <c r="R391" s="13" t="str">
        <f>_xlfn.IFNA(VLOOKUP(Tabla3[[#This Row],[DISPOSITIVO]],DISPOSITIVO[],2,0),"")</f>
        <v/>
      </c>
      <c r="S391" s="13" t="str">
        <f>_xlfn.IFNA(VLOOKUP(Tabla3[[#This Row],[PROTECCION SECUNDARIA]],PROTECCION_SECUNDARIA[],2,0),"")</f>
        <v/>
      </c>
      <c r="T391" s="13" t="str">
        <f>_xlfn.IFNA(VLOOKUP(Tabla3[[#This Row],[Que]],QUE[#All],2,0),"")</f>
        <v/>
      </c>
      <c r="U391" s="13" t="str">
        <f>_xlfn.IFNA(VLOOKUP(Tabla3[[#This Row],[Señal]],SEÑAL[#All],2,0),"")</f>
        <v/>
      </c>
      <c r="V391" s="13" t="str">
        <f>_xlfn.IFNA(VLOOKUP(Tabla3[[#This Row],[NUMERO]],SEÑAL[#All],2,0),"")</f>
        <v/>
      </c>
    </row>
    <row r="392" spans="1:22" x14ac:dyDescent="0.25">
      <c r="A392" s="26" t="s">
        <v>1180</v>
      </c>
      <c r="B392" s="2" t="s">
        <v>8</v>
      </c>
      <c r="C392" s="2" t="s">
        <v>89</v>
      </c>
      <c r="D392" s="2" t="s">
        <v>109</v>
      </c>
      <c r="E392" s="2" t="s">
        <v>1381</v>
      </c>
      <c r="J392"/>
      <c r="K392"/>
      <c r="L39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2" s="13" t="str">
        <f>VLOOKUP(Tabla3[[#This Row],[Tipo]],TIPO[#All],2,0)</f>
        <v>ET</v>
      </c>
      <c r="O392" s="13" t="str">
        <f>VLOOKUP(Tabla3[[#This Row],[Lugar]],LUGAR[#All],2,0)</f>
        <v>VMN</v>
      </c>
      <c r="P392" s="13" t="str">
        <f>Tabla3[[#This Row],[SIGLAS]]</f>
        <v>TR3</v>
      </c>
      <c r="Q392" s="13" t="str">
        <f>_xlfn.IFNA(VLOOKUP(Tabla3[[#This Row],[Nivel de tension]],NIVEL[#All],2,0),"")</f>
        <v/>
      </c>
      <c r="R392" s="13" t="str">
        <f>_xlfn.IFNA(VLOOKUP(Tabla3[[#This Row],[DISPOSITIVO]],DISPOSITIVO[],2,0),"")</f>
        <v/>
      </c>
      <c r="S392" s="13" t="str">
        <f>_xlfn.IFNA(VLOOKUP(Tabla3[[#This Row],[PROTECCION SECUNDARIA]],PROTECCION_SECUNDARIA[],2,0),"")</f>
        <v/>
      </c>
      <c r="T392" s="13" t="str">
        <f>_xlfn.IFNA(VLOOKUP(Tabla3[[#This Row],[Que]],QUE[#All],2,0),"")</f>
        <v/>
      </c>
      <c r="U392" s="13" t="str">
        <f>_xlfn.IFNA(VLOOKUP(Tabla3[[#This Row],[Señal]],SEÑAL[#All],2,0),"")</f>
        <v/>
      </c>
      <c r="V392" s="13" t="str">
        <f>_xlfn.IFNA(VLOOKUP(Tabla3[[#This Row],[NUMERO]],SEÑAL[#All],2,0),"")</f>
        <v/>
      </c>
    </row>
    <row r="393" spans="1:22" x14ac:dyDescent="0.25">
      <c r="A393" s="26" t="s">
        <v>1181</v>
      </c>
      <c r="B393" s="2" t="s">
        <v>8</v>
      </c>
      <c r="C393" s="2" t="s">
        <v>89</v>
      </c>
      <c r="D393" s="2" t="s">
        <v>109</v>
      </c>
      <c r="E393" s="2" t="s">
        <v>1381</v>
      </c>
      <c r="J393"/>
      <c r="K393"/>
      <c r="L39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3" s="13" t="str">
        <f>VLOOKUP(Tabla3[[#This Row],[Tipo]],TIPO[#All],2,0)</f>
        <v>ET</v>
      </c>
      <c r="O393" s="13" t="str">
        <f>VLOOKUP(Tabla3[[#This Row],[Lugar]],LUGAR[#All],2,0)</f>
        <v>VMN</v>
      </c>
      <c r="P393" s="13" t="str">
        <f>Tabla3[[#This Row],[SIGLAS]]</f>
        <v>TR3</v>
      </c>
      <c r="Q393" s="13" t="str">
        <f>_xlfn.IFNA(VLOOKUP(Tabla3[[#This Row],[Nivel de tension]],NIVEL[#All],2,0),"")</f>
        <v/>
      </c>
      <c r="R393" s="13" t="str">
        <f>_xlfn.IFNA(VLOOKUP(Tabla3[[#This Row],[DISPOSITIVO]],DISPOSITIVO[],2,0),"")</f>
        <v/>
      </c>
      <c r="S393" s="13" t="str">
        <f>_xlfn.IFNA(VLOOKUP(Tabla3[[#This Row],[PROTECCION SECUNDARIA]],PROTECCION_SECUNDARIA[],2,0),"")</f>
        <v/>
      </c>
      <c r="T393" s="13" t="str">
        <f>_xlfn.IFNA(VLOOKUP(Tabla3[[#This Row],[Que]],QUE[#All],2,0),"")</f>
        <v/>
      </c>
      <c r="U393" s="13" t="str">
        <f>_xlfn.IFNA(VLOOKUP(Tabla3[[#This Row],[Señal]],SEÑAL[#All],2,0),"")</f>
        <v/>
      </c>
      <c r="V393" s="13" t="str">
        <f>_xlfn.IFNA(VLOOKUP(Tabla3[[#This Row],[NUMERO]],SEÑAL[#All],2,0),"")</f>
        <v/>
      </c>
    </row>
    <row r="394" spans="1:22" x14ac:dyDescent="0.25">
      <c r="A394" s="26" t="s">
        <v>1182</v>
      </c>
      <c r="B394" s="2" t="s">
        <v>8</v>
      </c>
      <c r="C394" s="2" t="s">
        <v>89</v>
      </c>
      <c r="D394" s="2" t="s">
        <v>109</v>
      </c>
      <c r="E394" s="2" t="s">
        <v>1381</v>
      </c>
      <c r="J394"/>
      <c r="K394"/>
      <c r="L39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4" s="13" t="str">
        <f>VLOOKUP(Tabla3[[#This Row],[Tipo]],TIPO[#All],2,0)</f>
        <v>ET</v>
      </c>
      <c r="O394" s="13" t="str">
        <f>VLOOKUP(Tabla3[[#This Row],[Lugar]],LUGAR[#All],2,0)</f>
        <v>VMN</v>
      </c>
      <c r="P394" s="13" t="str">
        <f>Tabla3[[#This Row],[SIGLAS]]</f>
        <v>TR3</v>
      </c>
      <c r="Q394" s="13" t="str">
        <f>_xlfn.IFNA(VLOOKUP(Tabla3[[#This Row],[Nivel de tension]],NIVEL[#All],2,0),"")</f>
        <v/>
      </c>
      <c r="R394" s="13" t="str">
        <f>_xlfn.IFNA(VLOOKUP(Tabla3[[#This Row],[DISPOSITIVO]],DISPOSITIVO[],2,0),"")</f>
        <v/>
      </c>
      <c r="S394" s="13" t="str">
        <f>_xlfn.IFNA(VLOOKUP(Tabla3[[#This Row],[PROTECCION SECUNDARIA]],PROTECCION_SECUNDARIA[],2,0),"")</f>
        <v/>
      </c>
      <c r="T394" s="13" t="str">
        <f>_xlfn.IFNA(VLOOKUP(Tabla3[[#This Row],[Que]],QUE[#All],2,0),"")</f>
        <v/>
      </c>
      <c r="U394" s="13" t="str">
        <f>_xlfn.IFNA(VLOOKUP(Tabla3[[#This Row],[Señal]],SEÑAL[#All],2,0),"")</f>
        <v/>
      </c>
      <c r="V394" s="13" t="str">
        <f>_xlfn.IFNA(VLOOKUP(Tabla3[[#This Row],[NUMERO]],SEÑAL[#All],2,0),"")</f>
        <v/>
      </c>
    </row>
    <row r="395" spans="1:22" x14ac:dyDescent="0.25">
      <c r="A395" s="26" t="s">
        <v>1183</v>
      </c>
      <c r="B395" s="2" t="s">
        <v>8</v>
      </c>
      <c r="C395" s="2" t="s">
        <v>89</v>
      </c>
      <c r="D395" s="2" t="s">
        <v>109</v>
      </c>
      <c r="E395" s="2" t="s">
        <v>1381</v>
      </c>
      <c r="J395"/>
      <c r="K395"/>
      <c r="L39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5" s="13" t="str">
        <f>VLOOKUP(Tabla3[[#This Row],[Tipo]],TIPO[#All],2,0)</f>
        <v>ET</v>
      </c>
      <c r="O395" s="13" t="str">
        <f>VLOOKUP(Tabla3[[#This Row],[Lugar]],LUGAR[#All],2,0)</f>
        <v>VMN</v>
      </c>
      <c r="P395" s="13" t="str">
        <f>Tabla3[[#This Row],[SIGLAS]]</f>
        <v>TR3</v>
      </c>
      <c r="Q395" s="13" t="str">
        <f>_xlfn.IFNA(VLOOKUP(Tabla3[[#This Row],[Nivel de tension]],NIVEL[#All],2,0),"")</f>
        <v/>
      </c>
      <c r="R395" s="13" t="str">
        <f>_xlfn.IFNA(VLOOKUP(Tabla3[[#This Row],[DISPOSITIVO]],DISPOSITIVO[],2,0),"")</f>
        <v/>
      </c>
      <c r="S395" s="13" t="str">
        <f>_xlfn.IFNA(VLOOKUP(Tabla3[[#This Row],[PROTECCION SECUNDARIA]],PROTECCION_SECUNDARIA[],2,0),"")</f>
        <v/>
      </c>
      <c r="T395" s="13" t="str">
        <f>_xlfn.IFNA(VLOOKUP(Tabla3[[#This Row],[Que]],QUE[#All],2,0),"")</f>
        <v/>
      </c>
      <c r="U395" s="13" t="str">
        <f>_xlfn.IFNA(VLOOKUP(Tabla3[[#This Row],[Señal]],SEÑAL[#All],2,0),"")</f>
        <v/>
      </c>
      <c r="V395" s="13" t="str">
        <f>_xlfn.IFNA(VLOOKUP(Tabla3[[#This Row],[NUMERO]],SEÑAL[#All],2,0),"")</f>
        <v/>
      </c>
    </row>
    <row r="396" spans="1:22" x14ac:dyDescent="0.25">
      <c r="A396" s="26" t="s">
        <v>1184</v>
      </c>
      <c r="B396" s="2" t="s">
        <v>8</v>
      </c>
      <c r="C396" s="2" t="s">
        <v>89</v>
      </c>
      <c r="D396" s="2" t="s">
        <v>109</v>
      </c>
      <c r="E396" s="2" t="s">
        <v>1381</v>
      </c>
      <c r="J396"/>
      <c r="K396"/>
      <c r="L39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6" s="13" t="str">
        <f>VLOOKUP(Tabla3[[#This Row],[Tipo]],TIPO[#All],2,0)</f>
        <v>ET</v>
      </c>
      <c r="O396" s="13" t="str">
        <f>VLOOKUP(Tabla3[[#This Row],[Lugar]],LUGAR[#All],2,0)</f>
        <v>VMN</v>
      </c>
      <c r="P396" s="13" t="str">
        <f>Tabla3[[#This Row],[SIGLAS]]</f>
        <v>TR3</v>
      </c>
      <c r="Q396" s="13" t="str">
        <f>_xlfn.IFNA(VLOOKUP(Tabla3[[#This Row],[Nivel de tension]],NIVEL[#All],2,0),"")</f>
        <v/>
      </c>
      <c r="R396" s="13" t="str">
        <f>_xlfn.IFNA(VLOOKUP(Tabla3[[#This Row],[DISPOSITIVO]],DISPOSITIVO[],2,0),"")</f>
        <v/>
      </c>
      <c r="S396" s="13" t="str">
        <f>_xlfn.IFNA(VLOOKUP(Tabla3[[#This Row],[PROTECCION SECUNDARIA]],PROTECCION_SECUNDARIA[],2,0),"")</f>
        <v/>
      </c>
      <c r="T396" s="13" t="str">
        <f>_xlfn.IFNA(VLOOKUP(Tabla3[[#This Row],[Que]],QUE[#All],2,0),"")</f>
        <v/>
      </c>
      <c r="U396" s="13" t="str">
        <f>_xlfn.IFNA(VLOOKUP(Tabla3[[#This Row],[Señal]],SEÑAL[#All],2,0),"")</f>
        <v/>
      </c>
      <c r="V396" s="13" t="str">
        <f>_xlfn.IFNA(VLOOKUP(Tabla3[[#This Row],[NUMERO]],SEÑAL[#All],2,0),"")</f>
        <v/>
      </c>
    </row>
    <row r="397" spans="1:22" x14ac:dyDescent="0.25">
      <c r="A397" s="26" t="s">
        <v>1185</v>
      </c>
      <c r="B397" s="2" t="s">
        <v>8</v>
      </c>
      <c r="C397" s="2" t="s">
        <v>89</v>
      </c>
      <c r="D397" s="2" t="s">
        <v>109</v>
      </c>
      <c r="E397" s="2" t="s">
        <v>1381</v>
      </c>
      <c r="J397"/>
      <c r="K397"/>
      <c r="L39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7" s="13" t="str">
        <f>VLOOKUP(Tabla3[[#This Row],[Tipo]],TIPO[#All],2,0)</f>
        <v>ET</v>
      </c>
      <c r="O397" s="13" t="str">
        <f>VLOOKUP(Tabla3[[#This Row],[Lugar]],LUGAR[#All],2,0)</f>
        <v>VMN</v>
      </c>
      <c r="P397" s="13" t="str">
        <f>Tabla3[[#This Row],[SIGLAS]]</f>
        <v>TR3</v>
      </c>
      <c r="Q397" s="13" t="str">
        <f>_xlfn.IFNA(VLOOKUP(Tabla3[[#This Row],[Nivel de tension]],NIVEL[#All],2,0),"")</f>
        <v/>
      </c>
      <c r="R397" s="13" t="str">
        <f>_xlfn.IFNA(VLOOKUP(Tabla3[[#This Row],[DISPOSITIVO]],DISPOSITIVO[],2,0),"")</f>
        <v/>
      </c>
      <c r="S397" s="13" t="str">
        <f>_xlfn.IFNA(VLOOKUP(Tabla3[[#This Row],[PROTECCION SECUNDARIA]],PROTECCION_SECUNDARIA[],2,0),"")</f>
        <v/>
      </c>
      <c r="T397" s="13" t="str">
        <f>_xlfn.IFNA(VLOOKUP(Tabla3[[#This Row],[Que]],QUE[#All],2,0),"")</f>
        <v/>
      </c>
      <c r="U397" s="13" t="str">
        <f>_xlfn.IFNA(VLOOKUP(Tabla3[[#This Row],[Señal]],SEÑAL[#All],2,0),"")</f>
        <v/>
      </c>
      <c r="V397" s="13" t="str">
        <f>_xlfn.IFNA(VLOOKUP(Tabla3[[#This Row],[NUMERO]],SEÑAL[#All],2,0),"")</f>
        <v/>
      </c>
    </row>
    <row r="398" spans="1:22" x14ac:dyDescent="0.25">
      <c r="A398" s="26" t="s">
        <v>1186</v>
      </c>
      <c r="B398" s="2" t="s">
        <v>8</v>
      </c>
      <c r="C398" s="2" t="s">
        <v>89</v>
      </c>
      <c r="D398" s="2" t="s">
        <v>109</v>
      </c>
      <c r="E398" s="2" t="s">
        <v>1381</v>
      </c>
      <c r="J398"/>
      <c r="K398"/>
      <c r="L39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8" s="13" t="str">
        <f>VLOOKUP(Tabla3[[#This Row],[Tipo]],TIPO[#All],2,0)</f>
        <v>ET</v>
      </c>
      <c r="O398" s="13" t="str">
        <f>VLOOKUP(Tabla3[[#This Row],[Lugar]],LUGAR[#All],2,0)</f>
        <v>VMN</v>
      </c>
      <c r="P398" s="13" t="str">
        <f>Tabla3[[#This Row],[SIGLAS]]</f>
        <v>TR3</v>
      </c>
      <c r="Q398" s="13" t="str">
        <f>_xlfn.IFNA(VLOOKUP(Tabla3[[#This Row],[Nivel de tension]],NIVEL[#All],2,0),"")</f>
        <v/>
      </c>
      <c r="R398" s="13" t="str">
        <f>_xlfn.IFNA(VLOOKUP(Tabla3[[#This Row],[DISPOSITIVO]],DISPOSITIVO[],2,0),"")</f>
        <v/>
      </c>
      <c r="S398" s="13" t="str">
        <f>_xlfn.IFNA(VLOOKUP(Tabla3[[#This Row],[PROTECCION SECUNDARIA]],PROTECCION_SECUNDARIA[],2,0),"")</f>
        <v/>
      </c>
      <c r="T398" s="13" t="str">
        <f>_xlfn.IFNA(VLOOKUP(Tabla3[[#This Row],[Que]],QUE[#All],2,0),"")</f>
        <v/>
      </c>
      <c r="U398" s="13" t="str">
        <f>_xlfn.IFNA(VLOOKUP(Tabla3[[#This Row],[Señal]],SEÑAL[#All],2,0),"")</f>
        <v/>
      </c>
      <c r="V398" s="13" t="str">
        <f>_xlfn.IFNA(VLOOKUP(Tabla3[[#This Row],[NUMERO]],SEÑAL[#All],2,0),"")</f>
        <v/>
      </c>
    </row>
    <row r="399" spans="1:22" x14ac:dyDescent="0.25">
      <c r="A399" s="26" t="s">
        <v>1187</v>
      </c>
      <c r="B399" s="2" t="s">
        <v>8</v>
      </c>
      <c r="C399" s="2" t="s">
        <v>89</v>
      </c>
      <c r="D399" s="2" t="s">
        <v>109</v>
      </c>
      <c r="E399" s="2" t="s">
        <v>1381</v>
      </c>
      <c r="J399"/>
      <c r="K399"/>
      <c r="L39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399" s="13" t="str">
        <f>VLOOKUP(Tabla3[[#This Row],[Tipo]],TIPO[#All],2,0)</f>
        <v>ET</v>
      </c>
      <c r="O399" s="13" t="str">
        <f>VLOOKUP(Tabla3[[#This Row],[Lugar]],LUGAR[#All],2,0)</f>
        <v>VMN</v>
      </c>
      <c r="P399" s="13" t="str">
        <f>Tabla3[[#This Row],[SIGLAS]]</f>
        <v>TR3</v>
      </c>
      <c r="Q399" s="13" t="str">
        <f>_xlfn.IFNA(VLOOKUP(Tabla3[[#This Row],[Nivel de tension]],NIVEL[#All],2,0),"")</f>
        <v/>
      </c>
      <c r="R399" s="13" t="str">
        <f>_xlfn.IFNA(VLOOKUP(Tabla3[[#This Row],[DISPOSITIVO]],DISPOSITIVO[],2,0),"")</f>
        <v/>
      </c>
      <c r="S399" s="13" t="str">
        <f>_xlfn.IFNA(VLOOKUP(Tabla3[[#This Row],[PROTECCION SECUNDARIA]],PROTECCION_SECUNDARIA[],2,0),"")</f>
        <v/>
      </c>
      <c r="T399" s="13" t="str">
        <f>_xlfn.IFNA(VLOOKUP(Tabla3[[#This Row],[Que]],QUE[#All],2,0),"")</f>
        <v/>
      </c>
      <c r="U399" s="13" t="str">
        <f>_xlfn.IFNA(VLOOKUP(Tabla3[[#This Row],[Señal]],SEÑAL[#All],2,0),"")</f>
        <v/>
      </c>
      <c r="V399" s="13" t="str">
        <f>_xlfn.IFNA(VLOOKUP(Tabla3[[#This Row],[NUMERO]],SEÑAL[#All],2,0),"")</f>
        <v/>
      </c>
    </row>
    <row r="400" spans="1:22" x14ac:dyDescent="0.25">
      <c r="A400" s="26" t="s">
        <v>1188</v>
      </c>
      <c r="B400" s="2" t="s">
        <v>8</v>
      </c>
      <c r="C400" s="2" t="s">
        <v>89</v>
      </c>
      <c r="D400" s="2" t="s">
        <v>109</v>
      </c>
      <c r="E400" s="2" t="s">
        <v>1381</v>
      </c>
      <c r="J400"/>
      <c r="K400"/>
      <c r="L40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0" s="13" t="str">
        <f>VLOOKUP(Tabla3[[#This Row],[Tipo]],TIPO[#All],2,0)</f>
        <v>ET</v>
      </c>
      <c r="O400" s="13" t="str">
        <f>VLOOKUP(Tabla3[[#This Row],[Lugar]],LUGAR[#All],2,0)</f>
        <v>VMN</v>
      </c>
      <c r="P400" s="13" t="str">
        <f>Tabla3[[#This Row],[SIGLAS]]</f>
        <v>TR3</v>
      </c>
      <c r="Q400" s="13" t="str">
        <f>_xlfn.IFNA(VLOOKUP(Tabla3[[#This Row],[Nivel de tension]],NIVEL[#All],2,0),"")</f>
        <v/>
      </c>
      <c r="R400" s="13" t="str">
        <f>_xlfn.IFNA(VLOOKUP(Tabla3[[#This Row],[DISPOSITIVO]],DISPOSITIVO[],2,0),"")</f>
        <v/>
      </c>
      <c r="S400" s="13" t="str">
        <f>_xlfn.IFNA(VLOOKUP(Tabla3[[#This Row],[PROTECCION SECUNDARIA]],PROTECCION_SECUNDARIA[],2,0),"")</f>
        <v/>
      </c>
      <c r="T400" s="13" t="str">
        <f>_xlfn.IFNA(VLOOKUP(Tabla3[[#This Row],[Que]],QUE[#All],2,0),"")</f>
        <v/>
      </c>
      <c r="U400" s="13" t="str">
        <f>_xlfn.IFNA(VLOOKUP(Tabla3[[#This Row],[Señal]],SEÑAL[#All],2,0),"")</f>
        <v/>
      </c>
      <c r="V400" s="13" t="str">
        <f>_xlfn.IFNA(VLOOKUP(Tabla3[[#This Row],[NUMERO]],SEÑAL[#All],2,0),"")</f>
        <v/>
      </c>
    </row>
    <row r="401" spans="1:22" x14ac:dyDescent="0.25">
      <c r="A401" s="26" t="s">
        <v>1189</v>
      </c>
      <c r="B401" s="2" t="s">
        <v>8</v>
      </c>
      <c r="C401" s="2" t="s">
        <v>89</v>
      </c>
      <c r="D401" s="2" t="s">
        <v>109</v>
      </c>
      <c r="E401" s="2" t="s">
        <v>1381</v>
      </c>
      <c r="J401"/>
      <c r="K401"/>
      <c r="L40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1" s="13" t="str">
        <f>VLOOKUP(Tabla3[[#This Row],[Tipo]],TIPO[#All],2,0)</f>
        <v>ET</v>
      </c>
      <c r="O401" s="13" t="str">
        <f>VLOOKUP(Tabla3[[#This Row],[Lugar]],LUGAR[#All],2,0)</f>
        <v>VMN</v>
      </c>
      <c r="P401" s="13" t="str">
        <f>Tabla3[[#This Row],[SIGLAS]]</f>
        <v>TR3</v>
      </c>
      <c r="Q401" s="13" t="str">
        <f>_xlfn.IFNA(VLOOKUP(Tabla3[[#This Row],[Nivel de tension]],NIVEL[#All],2,0),"")</f>
        <v/>
      </c>
      <c r="R401" s="13" t="str">
        <f>_xlfn.IFNA(VLOOKUP(Tabla3[[#This Row],[DISPOSITIVO]],DISPOSITIVO[],2,0),"")</f>
        <v/>
      </c>
      <c r="S401" s="13" t="str">
        <f>_xlfn.IFNA(VLOOKUP(Tabla3[[#This Row],[PROTECCION SECUNDARIA]],PROTECCION_SECUNDARIA[],2,0),"")</f>
        <v/>
      </c>
      <c r="T401" s="13" t="str">
        <f>_xlfn.IFNA(VLOOKUP(Tabla3[[#This Row],[Que]],QUE[#All],2,0),"")</f>
        <v/>
      </c>
      <c r="U401" s="13" t="str">
        <f>_xlfn.IFNA(VLOOKUP(Tabla3[[#This Row],[Señal]],SEÑAL[#All],2,0),"")</f>
        <v/>
      </c>
      <c r="V401" s="13" t="str">
        <f>_xlfn.IFNA(VLOOKUP(Tabla3[[#This Row],[NUMERO]],SEÑAL[#All],2,0),"")</f>
        <v/>
      </c>
    </row>
    <row r="402" spans="1:22" x14ac:dyDescent="0.25">
      <c r="A402" s="26" t="s">
        <v>1190</v>
      </c>
      <c r="B402" s="2" t="s">
        <v>8</v>
      </c>
      <c r="C402" s="2" t="s">
        <v>89</v>
      </c>
      <c r="D402" s="2" t="s">
        <v>109</v>
      </c>
      <c r="E402" s="2" t="s">
        <v>1381</v>
      </c>
      <c r="J402"/>
      <c r="K402"/>
      <c r="L40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2" s="13" t="str">
        <f>VLOOKUP(Tabla3[[#This Row],[Tipo]],TIPO[#All],2,0)</f>
        <v>ET</v>
      </c>
      <c r="O402" s="13" t="str">
        <f>VLOOKUP(Tabla3[[#This Row],[Lugar]],LUGAR[#All],2,0)</f>
        <v>VMN</v>
      </c>
      <c r="P402" s="13" t="str">
        <f>Tabla3[[#This Row],[SIGLAS]]</f>
        <v>TR3</v>
      </c>
      <c r="Q402" s="13" t="str">
        <f>_xlfn.IFNA(VLOOKUP(Tabla3[[#This Row],[Nivel de tension]],NIVEL[#All],2,0),"")</f>
        <v/>
      </c>
      <c r="R402" s="13" t="str">
        <f>_xlfn.IFNA(VLOOKUP(Tabla3[[#This Row],[DISPOSITIVO]],DISPOSITIVO[],2,0),"")</f>
        <v/>
      </c>
      <c r="S402" s="13" t="str">
        <f>_xlfn.IFNA(VLOOKUP(Tabla3[[#This Row],[PROTECCION SECUNDARIA]],PROTECCION_SECUNDARIA[],2,0),"")</f>
        <v/>
      </c>
      <c r="T402" s="13" t="str">
        <f>_xlfn.IFNA(VLOOKUP(Tabla3[[#This Row],[Que]],QUE[#All],2,0),"")</f>
        <v/>
      </c>
      <c r="U402" s="13" t="str">
        <f>_xlfn.IFNA(VLOOKUP(Tabla3[[#This Row],[Señal]],SEÑAL[#All],2,0),"")</f>
        <v/>
      </c>
      <c r="V402" s="13" t="str">
        <f>_xlfn.IFNA(VLOOKUP(Tabla3[[#This Row],[NUMERO]],SEÑAL[#All],2,0),"")</f>
        <v/>
      </c>
    </row>
    <row r="403" spans="1:22" x14ac:dyDescent="0.25">
      <c r="A403" s="26" t="s">
        <v>1191</v>
      </c>
      <c r="B403" s="2" t="s">
        <v>8</v>
      </c>
      <c r="C403" s="2" t="s">
        <v>89</v>
      </c>
      <c r="D403" s="2" t="s">
        <v>109</v>
      </c>
      <c r="E403" s="2" t="s">
        <v>1381</v>
      </c>
      <c r="J403"/>
      <c r="K403"/>
      <c r="L40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3" s="13" t="str">
        <f>VLOOKUP(Tabla3[[#This Row],[Tipo]],TIPO[#All],2,0)</f>
        <v>ET</v>
      </c>
      <c r="O403" s="13" t="str">
        <f>VLOOKUP(Tabla3[[#This Row],[Lugar]],LUGAR[#All],2,0)</f>
        <v>VMN</v>
      </c>
      <c r="P403" s="13" t="str">
        <f>Tabla3[[#This Row],[SIGLAS]]</f>
        <v>TR3</v>
      </c>
      <c r="Q403" s="13" t="str">
        <f>_xlfn.IFNA(VLOOKUP(Tabla3[[#This Row],[Nivel de tension]],NIVEL[#All],2,0),"")</f>
        <v/>
      </c>
      <c r="R403" s="13" t="str">
        <f>_xlfn.IFNA(VLOOKUP(Tabla3[[#This Row],[DISPOSITIVO]],DISPOSITIVO[],2,0),"")</f>
        <v/>
      </c>
      <c r="S403" s="13" t="str">
        <f>_xlfn.IFNA(VLOOKUP(Tabla3[[#This Row],[PROTECCION SECUNDARIA]],PROTECCION_SECUNDARIA[],2,0),"")</f>
        <v/>
      </c>
      <c r="T403" s="13" t="str">
        <f>_xlfn.IFNA(VLOOKUP(Tabla3[[#This Row],[Que]],QUE[#All],2,0),"")</f>
        <v/>
      </c>
      <c r="U403" s="13" t="str">
        <f>_xlfn.IFNA(VLOOKUP(Tabla3[[#This Row],[Señal]],SEÑAL[#All],2,0),"")</f>
        <v/>
      </c>
      <c r="V403" s="13" t="str">
        <f>_xlfn.IFNA(VLOOKUP(Tabla3[[#This Row],[NUMERO]],SEÑAL[#All],2,0),"")</f>
        <v/>
      </c>
    </row>
    <row r="404" spans="1:22" x14ac:dyDescent="0.25">
      <c r="A404" s="26" t="s">
        <v>1192</v>
      </c>
      <c r="B404" s="2" t="s">
        <v>8</v>
      </c>
      <c r="C404" s="2" t="s">
        <v>89</v>
      </c>
      <c r="D404" s="2" t="s">
        <v>109</v>
      </c>
      <c r="E404" s="2" t="s">
        <v>1381</v>
      </c>
      <c r="J404"/>
      <c r="K404"/>
      <c r="L40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4" s="13" t="str">
        <f>VLOOKUP(Tabla3[[#This Row],[Tipo]],TIPO[#All],2,0)</f>
        <v>ET</v>
      </c>
      <c r="O404" s="13" t="str">
        <f>VLOOKUP(Tabla3[[#This Row],[Lugar]],LUGAR[#All],2,0)</f>
        <v>VMN</v>
      </c>
      <c r="P404" s="13" t="str">
        <f>Tabla3[[#This Row],[SIGLAS]]</f>
        <v>TR3</v>
      </c>
      <c r="Q404" s="13" t="str">
        <f>_xlfn.IFNA(VLOOKUP(Tabla3[[#This Row],[Nivel de tension]],NIVEL[#All],2,0),"")</f>
        <v/>
      </c>
      <c r="R404" s="13" t="str">
        <f>_xlfn.IFNA(VLOOKUP(Tabla3[[#This Row],[DISPOSITIVO]],DISPOSITIVO[],2,0),"")</f>
        <v/>
      </c>
      <c r="S404" s="13" t="str">
        <f>_xlfn.IFNA(VLOOKUP(Tabla3[[#This Row],[PROTECCION SECUNDARIA]],PROTECCION_SECUNDARIA[],2,0),"")</f>
        <v/>
      </c>
      <c r="T404" s="13" t="str">
        <f>_xlfn.IFNA(VLOOKUP(Tabla3[[#This Row],[Que]],QUE[#All],2,0),"")</f>
        <v/>
      </c>
      <c r="U404" s="13" t="str">
        <f>_xlfn.IFNA(VLOOKUP(Tabla3[[#This Row],[Señal]],SEÑAL[#All],2,0),"")</f>
        <v/>
      </c>
      <c r="V404" s="13" t="str">
        <f>_xlfn.IFNA(VLOOKUP(Tabla3[[#This Row],[NUMERO]],SEÑAL[#All],2,0),"")</f>
        <v/>
      </c>
    </row>
    <row r="405" spans="1:22" x14ac:dyDescent="0.25">
      <c r="A405" s="26" t="s">
        <v>1193</v>
      </c>
      <c r="B405" s="2" t="s">
        <v>8</v>
      </c>
      <c r="C405" s="2" t="s">
        <v>89</v>
      </c>
      <c r="D405" s="2" t="s">
        <v>109</v>
      </c>
      <c r="E405" s="2" t="s">
        <v>1381</v>
      </c>
      <c r="J405"/>
      <c r="K405"/>
      <c r="L40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5" s="13" t="str">
        <f>VLOOKUP(Tabla3[[#This Row],[Tipo]],TIPO[#All],2,0)</f>
        <v>ET</v>
      </c>
      <c r="O405" s="13" t="str">
        <f>VLOOKUP(Tabla3[[#This Row],[Lugar]],LUGAR[#All],2,0)</f>
        <v>VMN</v>
      </c>
      <c r="P405" s="13" t="str">
        <f>Tabla3[[#This Row],[SIGLAS]]</f>
        <v>TR3</v>
      </c>
      <c r="Q405" s="13" t="str">
        <f>_xlfn.IFNA(VLOOKUP(Tabla3[[#This Row],[Nivel de tension]],NIVEL[#All],2,0),"")</f>
        <v/>
      </c>
      <c r="R405" s="13" t="str">
        <f>_xlfn.IFNA(VLOOKUP(Tabla3[[#This Row],[DISPOSITIVO]],DISPOSITIVO[],2,0),"")</f>
        <v/>
      </c>
      <c r="S405" s="13" t="str">
        <f>_xlfn.IFNA(VLOOKUP(Tabla3[[#This Row],[PROTECCION SECUNDARIA]],PROTECCION_SECUNDARIA[],2,0),"")</f>
        <v/>
      </c>
      <c r="T405" s="13" t="str">
        <f>_xlfn.IFNA(VLOOKUP(Tabla3[[#This Row],[Que]],QUE[#All],2,0),"")</f>
        <v/>
      </c>
      <c r="U405" s="13" t="str">
        <f>_xlfn.IFNA(VLOOKUP(Tabla3[[#This Row],[Señal]],SEÑAL[#All],2,0),"")</f>
        <v/>
      </c>
      <c r="V405" s="13" t="str">
        <f>_xlfn.IFNA(VLOOKUP(Tabla3[[#This Row],[NUMERO]],SEÑAL[#All],2,0),"")</f>
        <v/>
      </c>
    </row>
    <row r="406" spans="1:22" x14ac:dyDescent="0.25">
      <c r="A406" s="26" t="s">
        <v>1194</v>
      </c>
      <c r="B406" s="2" t="s">
        <v>8</v>
      </c>
      <c r="C406" s="2" t="s">
        <v>89</v>
      </c>
      <c r="D406" s="2" t="s">
        <v>109</v>
      </c>
      <c r="E406" s="2" t="s">
        <v>1381</v>
      </c>
      <c r="J406"/>
      <c r="K406"/>
      <c r="L40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6" s="13" t="str">
        <f>VLOOKUP(Tabla3[[#This Row],[Tipo]],TIPO[#All],2,0)</f>
        <v>ET</v>
      </c>
      <c r="O406" s="13" t="str">
        <f>VLOOKUP(Tabla3[[#This Row],[Lugar]],LUGAR[#All],2,0)</f>
        <v>VMN</v>
      </c>
      <c r="P406" s="13" t="str">
        <f>Tabla3[[#This Row],[SIGLAS]]</f>
        <v>TR3</v>
      </c>
      <c r="Q406" s="13" t="str">
        <f>_xlfn.IFNA(VLOOKUP(Tabla3[[#This Row],[Nivel de tension]],NIVEL[#All],2,0),"")</f>
        <v/>
      </c>
      <c r="R406" s="13" t="str">
        <f>_xlfn.IFNA(VLOOKUP(Tabla3[[#This Row],[DISPOSITIVO]],DISPOSITIVO[],2,0),"")</f>
        <v/>
      </c>
      <c r="S406" s="13" t="str">
        <f>_xlfn.IFNA(VLOOKUP(Tabla3[[#This Row],[PROTECCION SECUNDARIA]],PROTECCION_SECUNDARIA[],2,0),"")</f>
        <v/>
      </c>
      <c r="T406" s="13" t="str">
        <f>_xlfn.IFNA(VLOOKUP(Tabla3[[#This Row],[Que]],QUE[#All],2,0),"")</f>
        <v/>
      </c>
      <c r="U406" s="13" t="str">
        <f>_xlfn.IFNA(VLOOKUP(Tabla3[[#This Row],[Señal]],SEÑAL[#All],2,0),"")</f>
        <v/>
      </c>
      <c r="V406" s="13" t="str">
        <f>_xlfn.IFNA(VLOOKUP(Tabla3[[#This Row],[NUMERO]],SEÑAL[#All],2,0),"")</f>
        <v/>
      </c>
    </row>
    <row r="407" spans="1:22" x14ac:dyDescent="0.25">
      <c r="A407" s="26" t="s">
        <v>1195</v>
      </c>
      <c r="B407" s="2" t="s">
        <v>8</v>
      </c>
      <c r="C407" s="2" t="s">
        <v>89</v>
      </c>
      <c r="D407" s="2" t="s">
        <v>109</v>
      </c>
      <c r="E407" s="2" t="s">
        <v>1381</v>
      </c>
      <c r="J407"/>
      <c r="K407"/>
      <c r="L40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7" s="13" t="str">
        <f>VLOOKUP(Tabla3[[#This Row],[Tipo]],TIPO[#All],2,0)</f>
        <v>ET</v>
      </c>
      <c r="O407" s="13" t="str">
        <f>VLOOKUP(Tabla3[[#This Row],[Lugar]],LUGAR[#All],2,0)</f>
        <v>VMN</v>
      </c>
      <c r="P407" s="13" t="str">
        <f>Tabla3[[#This Row],[SIGLAS]]</f>
        <v>TR3</v>
      </c>
      <c r="Q407" s="13" t="str">
        <f>_xlfn.IFNA(VLOOKUP(Tabla3[[#This Row],[Nivel de tension]],NIVEL[#All],2,0),"")</f>
        <v/>
      </c>
      <c r="R407" s="13" t="str">
        <f>_xlfn.IFNA(VLOOKUP(Tabla3[[#This Row],[DISPOSITIVO]],DISPOSITIVO[],2,0),"")</f>
        <v/>
      </c>
      <c r="S407" s="13" t="str">
        <f>_xlfn.IFNA(VLOOKUP(Tabla3[[#This Row],[PROTECCION SECUNDARIA]],PROTECCION_SECUNDARIA[],2,0),"")</f>
        <v/>
      </c>
      <c r="T407" s="13" t="str">
        <f>_xlfn.IFNA(VLOOKUP(Tabla3[[#This Row],[Que]],QUE[#All],2,0),"")</f>
        <v/>
      </c>
      <c r="U407" s="13" t="str">
        <f>_xlfn.IFNA(VLOOKUP(Tabla3[[#This Row],[Señal]],SEÑAL[#All],2,0),"")</f>
        <v/>
      </c>
      <c r="V407" s="13" t="str">
        <f>_xlfn.IFNA(VLOOKUP(Tabla3[[#This Row],[NUMERO]],SEÑAL[#All],2,0),"")</f>
        <v/>
      </c>
    </row>
    <row r="408" spans="1:22" x14ac:dyDescent="0.25">
      <c r="A408" s="26" t="s">
        <v>1196</v>
      </c>
      <c r="B408" s="2" t="s">
        <v>8</v>
      </c>
      <c r="C408" s="2" t="s">
        <v>89</v>
      </c>
      <c r="D408" s="2" t="s">
        <v>109</v>
      </c>
      <c r="E408" s="2" t="s">
        <v>1381</v>
      </c>
      <c r="J408"/>
      <c r="K408"/>
      <c r="L40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8" s="13" t="str">
        <f>VLOOKUP(Tabla3[[#This Row],[Tipo]],TIPO[#All],2,0)</f>
        <v>ET</v>
      </c>
      <c r="O408" s="13" t="str">
        <f>VLOOKUP(Tabla3[[#This Row],[Lugar]],LUGAR[#All],2,0)</f>
        <v>VMN</v>
      </c>
      <c r="P408" s="13" t="str">
        <f>Tabla3[[#This Row],[SIGLAS]]</f>
        <v>TR3</v>
      </c>
      <c r="Q408" s="13" t="str">
        <f>_xlfn.IFNA(VLOOKUP(Tabla3[[#This Row],[Nivel de tension]],NIVEL[#All],2,0),"")</f>
        <v/>
      </c>
      <c r="R408" s="13" t="str">
        <f>_xlfn.IFNA(VLOOKUP(Tabla3[[#This Row],[DISPOSITIVO]],DISPOSITIVO[],2,0),"")</f>
        <v/>
      </c>
      <c r="S408" s="13" t="str">
        <f>_xlfn.IFNA(VLOOKUP(Tabla3[[#This Row],[PROTECCION SECUNDARIA]],PROTECCION_SECUNDARIA[],2,0),"")</f>
        <v/>
      </c>
      <c r="T408" s="13" t="str">
        <f>_xlfn.IFNA(VLOOKUP(Tabla3[[#This Row],[Que]],QUE[#All],2,0),"")</f>
        <v/>
      </c>
      <c r="U408" s="13" t="str">
        <f>_xlfn.IFNA(VLOOKUP(Tabla3[[#This Row],[Señal]],SEÑAL[#All],2,0),"")</f>
        <v/>
      </c>
      <c r="V408" s="13" t="str">
        <f>_xlfn.IFNA(VLOOKUP(Tabla3[[#This Row],[NUMERO]],SEÑAL[#All],2,0),"")</f>
        <v/>
      </c>
    </row>
    <row r="409" spans="1:22" x14ac:dyDescent="0.25">
      <c r="A409" s="26" t="s">
        <v>1197</v>
      </c>
      <c r="B409" s="2" t="s">
        <v>8</v>
      </c>
      <c r="C409" s="2" t="s">
        <v>89</v>
      </c>
      <c r="D409" s="2" t="s">
        <v>109</v>
      </c>
      <c r="E409" s="2" t="s">
        <v>1381</v>
      </c>
      <c r="J409"/>
      <c r="K409"/>
      <c r="L40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09" s="13" t="str">
        <f>VLOOKUP(Tabla3[[#This Row],[Tipo]],TIPO[#All],2,0)</f>
        <v>ET</v>
      </c>
      <c r="O409" s="13" t="str">
        <f>VLOOKUP(Tabla3[[#This Row],[Lugar]],LUGAR[#All],2,0)</f>
        <v>VMN</v>
      </c>
      <c r="P409" s="13" t="str">
        <f>Tabla3[[#This Row],[SIGLAS]]</f>
        <v>TR3</v>
      </c>
      <c r="Q409" s="13" t="str">
        <f>_xlfn.IFNA(VLOOKUP(Tabla3[[#This Row],[Nivel de tension]],NIVEL[#All],2,0),"")</f>
        <v/>
      </c>
      <c r="R409" s="13" t="str">
        <f>_xlfn.IFNA(VLOOKUP(Tabla3[[#This Row],[DISPOSITIVO]],DISPOSITIVO[],2,0),"")</f>
        <v/>
      </c>
      <c r="S409" s="13" t="str">
        <f>_xlfn.IFNA(VLOOKUP(Tabla3[[#This Row],[PROTECCION SECUNDARIA]],PROTECCION_SECUNDARIA[],2,0),"")</f>
        <v/>
      </c>
      <c r="T409" s="13" t="str">
        <f>_xlfn.IFNA(VLOOKUP(Tabla3[[#This Row],[Que]],QUE[#All],2,0),"")</f>
        <v/>
      </c>
      <c r="U409" s="13" t="str">
        <f>_xlfn.IFNA(VLOOKUP(Tabla3[[#This Row],[Señal]],SEÑAL[#All],2,0),"")</f>
        <v/>
      </c>
      <c r="V409" s="13" t="str">
        <f>_xlfn.IFNA(VLOOKUP(Tabla3[[#This Row],[NUMERO]],SEÑAL[#All],2,0),"")</f>
        <v/>
      </c>
    </row>
    <row r="410" spans="1:22" x14ac:dyDescent="0.25">
      <c r="A410" s="26" t="s">
        <v>1198</v>
      </c>
      <c r="B410" s="2" t="s">
        <v>8</v>
      </c>
      <c r="C410" s="2" t="s">
        <v>89</v>
      </c>
      <c r="D410" s="2" t="s">
        <v>109</v>
      </c>
      <c r="E410" s="2" t="s">
        <v>1381</v>
      </c>
      <c r="J410"/>
      <c r="K410"/>
      <c r="L41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0" s="13" t="str">
        <f>VLOOKUP(Tabla3[[#This Row],[Tipo]],TIPO[#All],2,0)</f>
        <v>ET</v>
      </c>
      <c r="O410" s="13" t="str">
        <f>VLOOKUP(Tabla3[[#This Row],[Lugar]],LUGAR[#All],2,0)</f>
        <v>VMN</v>
      </c>
      <c r="P410" s="13" t="str">
        <f>Tabla3[[#This Row],[SIGLAS]]</f>
        <v>TR3</v>
      </c>
      <c r="Q410" s="13" t="str">
        <f>_xlfn.IFNA(VLOOKUP(Tabla3[[#This Row],[Nivel de tension]],NIVEL[#All],2,0),"")</f>
        <v/>
      </c>
      <c r="R410" s="13" t="str">
        <f>_xlfn.IFNA(VLOOKUP(Tabla3[[#This Row],[DISPOSITIVO]],DISPOSITIVO[],2,0),"")</f>
        <v/>
      </c>
      <c r="S410" s="13" t="str">
        <f>_xlfn.IFNA(VLOOKUP(Tabla3[[#This Row],[PROTECCION SECUNDARIA]],PROTECCION_SECUNDARIA[],2,0),"")</f>
        <v/>
      </c>
      <c r="T410" s="13" t="str">
        <f>_xlfn.IFNA(VLOOKUP(Tabla3[[#This Row],[Que]],QUE[#All],2,0),"")</f>
        <v/>
      </c>
      <c r="U410" s="13" t="str">
        <f>_xlfn.IFNA(VLOOKUP(Tabla3[[#This Row],[Señal]],SEÑAL[#All],2,0),"")</f>
        <v/>
      </c>
      <c r="V410" s="13" t="str">
        <f>_xlfn.IFNA(VLOOKUP(Tabla3[[#This Row],[NUMERO]],SEÑAL[#All],2,0),"")</f>
        <v/>
      </c>
    </row>
    <row r="411" spans="1:22" x14ac:dyDescent="0.25">
      <c r="A411" s="26" t="s">
        <v>1199</v>
      </c>
      <c r="B411" s="2" t="s">
        <v>8</v>
      </c>
      <c r="C411" s="2" t="s">
        <v>89</v>
      </c>
      <c r="D411" s="2" t="s">
        <v>109</v>
      </c>
      <c r="E411" s="2" t="s">
        <v>1381</v>
      </c>
      <c r="J411"/>
      <c r="K411"/>
      <c r="L41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1" s="13" t="str">
        <f>VLOOKUP(Tabla3[[#This Row],[Tipo]],TIPO[#All],2,0)</f>
        <v>ET</v>
      </c>
      <c r="O411" s="13" t="str">
        <f>VLOOKUP(Tabla3[[#This Row],[Lugar]],LUGAR[#All],2,0)</f>
        <v>VMN</v>
      </c>
      <c r="P411" s="13" t="str">
        <f>Tabla3[[#This Row],[SIGLAS]]</f>
        <v>TR3</v>
      </c>
      <c r="Q411" s="13" t="str">
        <f>_xlfn.IFNA(VLOOKUP(Tabla3[[#This Row],[Nivel de tension]],NIVEL[#All],2,0),"")</f>
        <v/>
      </c>
      <c r="R411" s="13" t="str">
        <f>_xlfn.IFNA(VLOOKUP(Tabla3[[#This Row],[DISPOSITIVO]],DISPOSITIVO[],2,0),"")</f>
        <v/>
      </c>
      <c r="S411" s="13" t="str">
        <f>_xlfn.IFNA(VLOOKUP(Tabla3[[#This Row],[PROTECCION SECUNDARIA]],PROTECCION_SECUNDARIA[],2,0),"")</f>
        <v/>
      </c>
      <c r="T411" s="13" t="str">
        <f>_xlfn.IFNA(VLOOKUP(Tabla3[[#This Row],[Que]],QUE[#All],2,0),"")</f>
        <v/>
      </c>
      <c r="U411" s="13" t="str">
        <f>_xlfn.IFNA(VLOOKUP(Tabla3[[#This Row],[Señal]],SEÑAL[#All],2,0),"")</f>
        <v/>
      </c>
      <c r="V411" s="13" t="str">
        <f>_xlfn.IFNA(VLOOKUP(Tabla3[[#This Row],[NUMERO]],SEÑAL[#All],2,0),"")</f>
        <v/>
      </c>
    </row>
    <row r="412" spans="1:22" x14ac:dyDescent="0.25">
      <c r="A412" s="26" t="s">
        <v>1200</v>
      </c>
      <c r="B412" s="2" t="s">
        <v>8</v>
      </c>
      <c r="C412" s="2" t="s">
        <v>89</v>
      </c>
      <c r="D412" s="2" t="s">
        <v>109</v>
      </c>
      <c r="E412" s="2" t="s">
        <v>1381</v>
      </c>
      <c r="J412"/>
      <c r="K412"/>
      <c r="L41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2" s="13" t="str">
        <f>VLOOKUP(Tabla3[[#This Row],[Tipo]],TIPO[#All],2,0)</f>
        <v>ET</v>
      </c>
      <c r="O412" s="13" t="str">
        <f>VLOOKUP(Tabla3[[#This Row],[Lugar]],LUGAR[#All],2,0)</f>
        <v>VMN</v>
      </c>
      <c r="P412" s="13" t="str">
        <f>Tabla3[[#This Row],[SIGLAS]]</f>
        <v>TR3</v>
      </c>
      <c r="Q412" s="13" t="str">
        <f>_xlfn.IFNA(VLOOKUP(Tabla3[[#This Row],[Nivel de tension]],NIVEL[#All],2,0),"")</f>
        <v/>
      </c>
      <c r="R412" s="13" t="str">
        <f>_xlfn.IFNA(VLOOKUP(Tabla3[[#This Row],[DISPOSITIVO]],DISPOSITIVO[],2,0),"")</f>
        <v/>
      </c>
      <c r="S412" s="13" t="str">
        <f>_xlfn.IFNA(VLOOKUP(Tabla3[[#This Row],[PROTECCION SECUNDARIA]],PROTECCION_SECUNDARIA[],2,0),"")</f>
        <v/>
      </c>
      <c r="T412" s="13" t="str">
        <f>_xlfn.IFNA(VLOOKUP(Tabla3[[#This Row],[Que]],QUE[#All],2,0),"")</f>
        <v/>
      </c>
      <c r="U412" s="13" t="str">
        <f>_xlfn.IFNA(VLOOKUP(Tabla3[[#This Row],[Señal]],SEÑAL[#All],2,0),"")</f>
        <v/>
      </c>
      <c r="V412" s="13" t="str">
        <f>_xlfn.IFNA(VLOOKUP(Tabla3[[#This Row],[NUMERO]],SEÑAL[#All],2,0),"")</f>
        <v/>
      </c>
    </row>
    <row r="413" spans="1:22" x14ac:dyDescent="0.25">
      <c r="A413" s="26" t="s">
        <v>1201</v>
      </c>
      <c r="B413" s="2" t="s">
        <v>8</v>
      </c>
      <c r="C413" s="2" t="s">
        <v>89</v>
      </c>
      <c r="D413" s="2" t="s">
        <v>109</v>
      </c>
      <c r="E413" s="2" t="s">
        <v>1381</v>
      </c>
      <c r="J413"/>
      <c r="K413"/>
      <c r="L41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3" s="13" t="str">
        <f>VLOOKUP(Tabla3[[#This Row],[Tipo]],TIPO[#All],2,0)</f>
        <v>ET</v>
      </c>
      <c r="O413" s="13" t="str">
        <f>VLOOKUP(Tabla3[[#This Row],[Lugar]],LUGAR[#All],2,0)</f>
        <v>VMN</v>
      </c>
      <c r="P413" s="13" t="str">
        <f>Tabla3[[#This Row],[SIGLAS]]</f>
        <v>TR3</v>
      </c>
      <c r="Q413" s="13" t="str">
        <f>_xlfn.IFNA(VLOOKUP(Tabla3[[#This Row],[Nivel de tension]],NIVEL[#All],2,0),"")</f>
        <v/>
      </c>
      <c r="R413" s="13" t="str">
        <f>_xlfn.IFNA(VLOOKUP(Tabla3[[#This Row],[DISPOSITIVO]],DISPOSITIVO[],2,0),"")</f>
        <v/>
      </c>
      <c r="S413" s="13" t="str">
        <f>_xlfn.IFNA(VLOOKUP(Tabla3[[#This Row],[PROTECCION SECUNDARIA]],PROTECCION_SECUNDARIA[],2,0),"")</f>
        <v/>
      </c>
      <c r="T413" s="13" t="str">
        <f>_xlfn.IFNA(VLOOKUP(Tabla3[[#This Row],[Que]],QUE[#All],2,0),"")</f>
        <v/>
      </c>
      <c r="U413" s="13" t="str">
        <f>_xlfn.IFNA(VLOOKUP(Tabla3[[#This Row],[Señal]],SEÑAL[#All],2,0),"")</f>
        <v/>
      </c>
      <c r="V413" s="13" t="str">
        <f>_xlfn.IFNA(VLOOKUP(Tabla3[[#This Row],[NUMERO]],SEÑAL[#All],2,0),"")</f>
        <v/>
      </c>
    </row>
    <row r="414" spans="1:22" x14ac:dyDescent="0.25">
      <c r="A414" s="26" t="s">
        <v>1202</v>
      </c>
      <c r="B414" s="2" t="s">
        <v>8</v>
      </c>
      <c r="C414" s="2" t="s">
        <v>89</v>
      </c>
      <c r="D414" s="2" t="s">
        <v>109</v>
      </c>
      <c r="E414" s="2" t="s">
        <v>1381</v>
      </c>
      <c r="J414"/>
      <c r="K414"/>
      <c r="L41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4" s="13" t="str">
        <f>VLOOKUP(Tabla3[[#This Row],[Tipo]],TIPO[#All],2,0)</f>
        <v>ET</v>
      </c>
      <c r="O414" s="13" t="str">
        <f>VLOOKUP(Tabla3[[#This Row],[Lugar]],LUGAR[#All],2,0)</f>
        <v>VMN</v>
      </c>
      <c r="P414" s="13" t="str">
        <f>Tabla3[[#This Row],[SIGLAS]]</f>
        <v>TR3</v>
      </c>
      <c r="Q414" s="13" t="str">
        <f>_xlfn.IFNA(VLOOKUP(Tabla3[[#This Row],[Nivel de tension]],NIVEL[#All],2,0),"")</f>
        <v/>
      </c>
      <c r="R414" s="13" t="str">
        <f>_xlfn.IFNA(VLOOKUP(Tabla3[[#This Row],[DISPOSITIVO]],DISPOSITIVO[],2,0),"")</f>
        <v/>
      </c>
      <c r="S414" s="13" t="str">
        <f>_xlfn.IFNA(VLOOKUP(Tabla3[[#This Row],[PROTECCION SECUNDARIA]],PROTECCION_SECUNDARIA[],2,0),"")</f>
        <v/>
      </c>
      <c r="T414" s="13" t="str">
        <f>_xlfn.IFNA(VLOOKUP(Tabla3[[#This Row],[Que]],QUE[#All],2,0),"")</f>
        <v/>
      </c>
      <c r="U414" s="13" t="str">
        <f>_xlfn.IFNA(VLOOKUP(Tabla3[[#This Row],[Señal]],SEÑAL[#All],2,0),"")</f>
        <v/>
      </c>
      <c r="V414" s="13" t="str">
        <f>_xlfn.IFNA(VLOOKUP(Tabla3[[#This Row],[NUMERO]],SEÑAL[#All],2,0),"")</f>
        <v/>
      </c>
    </row>
    <row r="415" spans="1:22" x14ac:dyDescent="0.25">
      <c r="A415" s="26" t="s">
        <v>1203</v>
      </c>
      <c r="B415" s="2" t="s">
        <v>8</v>
      </c>
      <c r="C415" s="2" t="s">
        <v>89</v>
      </c>
      <c r="D415" s="2" t="s">
        <v>109</v>
      </c>
      <c r="E415" s="2" t="s">
        <v>1381</v>
      </c>
      <c r="J415"/>
      <c r="K415"/>
      <c r="L41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5" s="13" t="str">
        <f>VLOOKUP(Tabla3[[#This Row],[Tipo]],TIPO[#All],2,0)</f>
        <v>ET</v>
      </c>
      <c r="O415" s="13" t="str">
        <f>VLOOKUP(Tabla3[[#This Row],[Lugar]],LUGAR[#All],2,0)</f>
        <v>VMN</v>
      </c>
      <c r="P415" s="13" t="str">
        <f>Tabla3[[#This Row],[SIGLAS]]</f>
        <v>TR3</v>
      </c>
      <c r="Q415" s="13" t="str">
        <f>_xlfn.IFNA(VLOOKUP(Tabla3[[#This Row],[Nivel de tension]],NIVEL[#All],2,0),"")</f>
        <v/>
      </c>
      <c r="R415" s="13" t="str">
        <f>_xlfn.IFNA(VLOOKUP(Tabla3[[#This Row],[DISPOSITIVO]],DISPOSITIVO[],2,0),"")</f>
        <v/>
      </c>
      <c r="S415" s="13" t="str">
        <f>_xlfn.IFNA(VLOOKUP(Tabla3[[#This Row],[PROTECCION SECUNDARIA]],PROTECCION_SECUNDARIA[],2,0),"")</f>
        <v/>
      </c>
      <c r="T415" s="13" t="str">
        <f>_xlfn.IFNA(VLOOKUP(Tabla3[[#This Row],[Que]],QUE[#All],2,0),"")</f>
        <v/>
      </c>
      <c r="U415" s="13" t="str">
        <f>_xlfn.IFNA(VLOOKUP(Tabla3[[#This Row],[Señal]],SEÑAL[#All],2,0),"")</f>
        <v/>
      </c>
      <c r="V415" s="13" t="str">
        <f>_xlfn.IFNA(VLOOKUP(Tabla3[[#This Row],[NUMERO]],SEÑAL[#All],2,0),"")</f>
        <v/>
      </c>
    </row>
    <row r="416" spans="1:22" x14ac:dyDescent="0.25">
      <c r="A416" s="26" t="s">
        <v>1204</v>
      </c>
      <c r="B416" s="2" t="s">
        <v>8</v>
      </c>
      <c r="C416" s="2" t="s">
        <v>89</v>
      </c>
      <c r="D416" s="2" t="s">
        <v>109</v>
      </c>
      <c r="E416" s="2" t="s">
        <v>1381</v>
      </c>
      <c r="J416"/>
      <c r="K416"/>
      <c r="L41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6" s="13" t="str">
        <f>VLOOKUP(Tabla3[[#This Row],[Tipo]],TIPO[#All],2,0)</f>
        <v>ET</v>
      </c>
      <c r="O416" s="13" t="str">
        <f>VLOOKUP(Tabla3[[#This Row],[Lugar]],LUGAR[#All],2,0)</f>
        <v>VMN</v>
      </c>
      <c r="P416" s="13" t="str">
        <f>Tabla3[[#This Row],[SIGLAS]]</f>
        <v>TR3</v>
      </c>
      <c r="Q416" s="13" t="str">
        <f>_xlfn.IFNA(VLOOKUP(Tabla3[[#This Row],[Nivel de tension]],NIVEL[#All],2,0),"")</f>
        <v/>
      </c>
      <c r="R416" s="13" t="str">
        <f>_xlfn.IFNA(VLOOKUP(Tabla3[[#This Row],[DISPOSITIVO]],DISPOSITIVO[],2,0),"")</f>
        <v/>
      </c>
      <c r="S416" s="13" t="str">
        <f>_xlfn.IFNA(VLOOKUP(Tabla3[[#This Row],[PROTECCION SECUNDARIA]],PROTECCION_SECUNDARIA[],2,0),"")</f>
        <v/>
      </c>
      <c r="T416" s="13" t="str">
        <f>_xlfn.IFNA(VLOOKUP(Tabla3[[#This Row],[Que]],QUE[#All],2,0),"")</f>
        <v/>
      </c>
      <c r="U416" s="13" t="str">
        <f>_xlfn.IFNA(VLOOKUP(Tabla3[[#This Row],[Señal]],SEÑAL[#All],2,0),"")</f>
        <v/>
      </c>
      <c r="V416" s="13" t="str">
        <f>_xlfn.IFNA(VLOOKUP(Tabla3[[#This Row],[NUMERO]],SEÑAL[#All],2,0),"")</f>
        <v/>
      </c>
    </row>
    <row r="417" spans="1:22" x14ac:dyDescent="0.25">
      <c r="A417" s="26" t="s">
        <v>1205</v>
      </c>
      <c r="B417" s="2" t="s">
        <v>8</v>
      </c>
      <c r="C417" s="2" t="s">
        <v>89</v>
      </c>
      <c r="D417" s="2" t="s">
        <v>109</v>
      </c>
      <c r="E417" s="2" t="s">
        <v>1381</v>
      </c>
      <c r="J417"/>
      <c r="K417"/>
      <c r="L41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7" s="13" t="str">
        <f>VLOOKUP(Tabla3[[#This Row],[Tipo]],TIPO[#All],2,0)</f>
        <v>ET</v>
      </c>
      <c r="O417" s="13" t="str">
        <f>VLOOKUP(Tabla3[[#This Row],[Lugar]],LUGAR[#All],2,0)</f>
        <v>VMN</v>
      </c>
      <c r="P417" s="13" t="str">
        <f>Tabla3[[#This Row],[SIGLAS]]</f>
        <v>TR3</v>
      </c>
      <c r="Q417" s="13" t="str">
        <f>_xlfn.IFNA(VLOOKUP(Tabla3[[#This Row],[Nivel de tension]],NIVEL[#All],2,0),"")</f>
        <v/>
      </c>
      <c r="R417" s="13" t="str">
        <f>_xlfn.IFNA(VLOOKUP(Tabla3[[#This Row],[DISPOSITIVO]],DISPOSITIVO[],2,0),"")</f>
        <v/>
      </c>
      <c r="S417" s="13" t="str">
        <f>_xlfn.IFNA(VLOOKUP(Tabla3[[#This Row],[PROTECCION SECUNDARIA]],PROTECCION_SECUNDARIA[],2,0),"")</f>
        <v/>
      </c>
      <c r="T417" s="13" t="str">
        <f>_xlfn.IFNA(VLOOKUP(Tabla3[[#This Row],[Que]],QUE[#All],2,0),"")</f>
        <v/>
      </c>
      <c r="U417" s="13" t="str">
        <f>_xlfn.IFNA(VLOOKUP(Tabla3[[#This Row],[Señal]],SEÑAL[#All],2,0),"")</f>
        <v/>
      </c>
      <c r="V417" s="13" t="str">
        <f>_xlfn.IFNA(VLOOKUP(Tabla3[[#This Row],[NUMERO]],SEÑAL[#All],2,0),"")</f>
        <v/>
      </c>
    </row>
    <row r="418" spans="1:22" x14ac:dyDescent="0.25">
      <c r="A418" s="26" t="s">
        <v>1206</v>
      </c>
      <c r="B418" s="2" t="s">
        <v>8</v>
      </c>
      <c r="C418" s="2" t="s">
        <v>89</v>
      </c>
      <c r="D418" s="2" t="s">
        <v>109</v>
      </c>
      <c r="E418" s="2" t="s">
        <v>1381</v>
      </c>
      <c r="J418"/>
      <c r="K418"/>
      <c r="L41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8" s="13" t="str">
        <f>VLOOKUP(Tabla3[[#This Row],[Tipo]],TIPO[#All],2,0)</f>
        <v>ET</v>
      </c>
      <c r="O418" s="13" t="str">
        <f>VLOOKUP(Tabla3[[#This Row],[Lugar]],LUGAR[#All],2,0)</f>
        <v>VMN</v>
      </c>
      <c r="P418" s="13" t="str">
        <f>Tabla3[[#This Row],[SIGLAS]]</f>
        <v>TR3</v>
      </c>
      <c r="Q418" s="13" t="str">
        <f>_xlfn.IFNA(VLOOKUP(Tabla3[[#This Row],[Nivel de tension]],NIVEL[#All],2,0),"")</f>
        <v/>
      </c>
      <c r="R418" s="13" t="str">
        <f>_xlfn.IFNA(VLOOKUP(Tabla3[[#This Row],[DISPOSITIVO]],DISPOSITIVO[],2,0),"")</f>
        <v/>
      </c>
      <c r="S418" s="13" t="str">
        <f>_xlfn.IFNA(VLOOKUP(Tabla3[[#This Row],[PROTECCION SECUNDARIA]],PROTECCION_SECUNDARIA[],2,0),"")</f>
        <v/>
      </c>
      <c r="T418" s="13" t="str">
        <f>_xlfn.IFNA(VLOOKUP(Tabla3[[#This Row],[Que]],QUE[#All],2,0),"")</f>
        <v/>
      </c>
      <c r="U418" s="13" t="str">
        <f>_xlfn.IFNA(VLOOKUP(Tabla3[[#This Row],[Señal]],SEÑAL[#All],2,0),"")</f>
        <v/>
      </c>
      <c r="V418" s="13" t="str">
        <f>_xlfn.IFNA(VLOOKUP(Tabla3[[#This Row],[NUMERO]],SEÑAL[#All],2,0),"")</f>
        <v/>
      </c>
    </row>
    <row r="419" spans="1:22" x14ac:dyDescent="0.25">
      <c r="A419" s="26" t="s">
        <v>1207</v>
      </c>
      <c r="B419" s="2" t="s">
        <v>8</v>
      </c>
      <c r="C419" s="2" t="s">
        <v>89</v>
      </c>
      <c r="D419" s="2" t="s">
        <v>109</v>
      </c>
      <c r="E419" s="2" t="s">
        <v>1381</v>
      </c>
      <c r="J419"/>
      <c r="K419"/>
      <c r="L41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19" s="13" t="str">
        <f>VLOOKUP(Tabla3[[#This Row],[Tipo]],TIPO[#All],2,0)</f>
        <v>ET</v>
      </c>
      <c r="O419" s="13" t="str">
        <f>VLOOKUP(Tabla3[[#This Row],[Lugar]],LUGAR[#All],2,0)</f>
        <v>VMN</v>
      </c>
      <c r="P419" s="13" t="str">
        <f>Tabla3[[#This Row],[SIGLAS]]</f>
        <v>TR3</v>
      </c>
      <c r="Q419" s="13" t="str">
        <f>_xlfn.IFNA(VLOOKUP(Tabla3[[#This Row],[Nivel de tension]],NIVEL[#All],2,0),"")</f>
        <v/>
      </c>
      <c r="R419" s="13" t="str">
        <f>_xlfn.IFNA(VLOOKUP(Tabla3[[#This Row],[DISPOSITIVO]],DISPOSITIVO[],2,0),"")</f>
        <v/>
      </c>
      <c r="S419" s="13" t="str">
        <f>_xlfn.IFNA(VLOOKUP(Tabla3[[#This Row],[PROTECCION SECUNDARIA]],PROTECCION_SECUNDARIA[],2,0),"")</f>
        <v/>
      </c>
      <c r="T419" s="13" t="str">
        <f>_xlfn.IFNA(VLOOKUP(Tabla3[[#This Row],[Que]],QUE[#All],2,0),"")</f>
        <v/>
      </c>
      <c r="U419" s="13" t="str">
        <f>_xlfn.IFNA(VLOOKUP(Tabla3[[#This Row],[Señal]],SEÑAL[#All],2,0),"")</f>
        <v/>
      </c>
      <c r="V419" s="13" t="str">
        <f>_xlfn.IFNA(VLOOKUP(Tabla3[[#This Row],[NUMERO]],SEÑAL[#All],2,0),"")</f>
        <v/>
      </c>
    </row>
    <row r="420" spans="1:22" x14ac:dyDescent="0.25">
      <c r="A420" s="26" t="s">
        <v>1208</v>
      </c>
      <c r="B420" s="2" t="s">
        <v>8</v>
      </c>
      <c r="C420" s="2" t="s">
        <v>89</v>
      </c>
      <c r="D420" s="2" t="s">
        <v>109</v>
      </c>
      <c r="E420" s="2" t="s">
        <v>1381</v>
      </c>
      <c r="J420"/>
      <c r="K420"/>
      <c r="L42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0" s="13" t="str">
        <f>VLOOKUP(Tabla3[[#This Row],[Tipo]],TIPO[#All],2,0)</f>
        <v>ET</v>
      </c>
      <c r="O420" s="13" t="str">
        <f>VLOOKUP(Tabla3[[#This Row],[Lugar]],LUGAR[#All],2,0)</f>
        <v>VMN</v>
      </c>
      <c r="P420" s="13" t="str">
        <f>Tabla3[[#This Row],[SIGLAS]]</f>
        <v>TR3</v>
      </c>
      <c r="Q420" s="13" t="str">
        <f>_xlfn.IFNA(VLOOKUP(Tabla3[[#This Row],[Nivel de tension]],NIVEL[#All],2,0),"")</f>
        <v/>
      </c>
      <c r="R420" s="13" t="str">
        <f>_xlfn.IFNA(VLOOKUP(Tabla3[[#This Row],[DISPOSITIVO]],DISPOSITIVO[],2,0),"")</f>
        <v/>
      </c>
      <c r="S420" s="13" t="str">
        <f>_xlfn.IFNA(VLOOKUP(Tabla3[[#This Row],[PROTECCION SECUNDARIA]],PROTECCION_SECUNDARIA[],2,0),"")</f>
        <v/>
      </c>
      <c r="T420" s="13" t="str">
        <f>_xlfn.IFNA(VLOOKUP(Tabla3[[#This Row],[Que]],QUE[#All],2,0),"")</f>
        <v/>
      </c>
      <c r="U420" s="13" t="str">
        <f>_xlfn.IFNA(VLOOKUP(Tabla3[[#This Row],[Señal]],SEÑAL[#All],2,0),"")</f>
        <v/>
      </c>
      <c r="V420" s="13" t="str">
        <f>_xlfn.IFNA(VLOOKUP(Tabla3[[#This Row],[NUMERO]],SEÑAL[#All],2,0),"")</f>
        <v/>
      </c>
    </row>
    <row r="421" spans="1:22" x14ac:dyDescent="0.25">
      <c r="A421" s="26" t="s">
        <v>1209</v>
      </c>
      <c r="B421" s="2" t="s">
        <v>8</v>
      </c>
      <c r="C421" s="2" t="s">
        <v>89</v>
      </c>
      <c r="D421" s="2" t="s">
        <v>109</v>
      </c>
      <c r="E421" s="2" t="s">
        <v>1381</v>
      </c>
      <c r="J421"/>
      <c r="K421"/>
      <c r="L42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1" s="13" t="str">
        <f>VLOOKUP(Tabla3[[#This Row],[Tipo]],TIPO[#All],2,0)</f>
        <v>ET</v>
      </c>
      <c r="O421" s="13" t="str">
        <f>VLOOKUP(Tabla3[[#This Row],[Lugar]],LUGAR[#All],2,0)</f>
        <v>VMN</v>
      </c>
      <c r="P421" s="13" t="str">
        <f>Tabla3[[#This Row],[SIGLAS]]</f>
        <v>TR3</v>
      </c>
      <c r="Q421" s="13" t="str">
        <f>_xlfn.IFNA(VLOOKUP(Tabla3[[#This Row],[Nivel de tension]],NIVEL[#All],2,0),"")</f>
        <v/>
      </c>
      <c r="R421" s="13" t="str">
        <f>_xlfn.IFNA(VLOOKUP(Tabla3[[#This Row],[DISPOSITIVO]],DISPOSITIVO[],2,0),"")</f>
        <v/>
      </c>
      <c r="S421" s="13" t="str">
        <f>_xlfn.IFNA(VLOOKUP(Tabla3[[#This Row],[PROTECCION SECUNDARIA]],PROTECCION_SECUNDARIA[],2,0),"")</f>
        <v/>
      </c>
      <c r="T421" s="13" t="str">
        <f>_xlfn.IFNA(VLOOKUP(Tabla3[[#This Row],[Que]],QUE[#All],2,0),"")</f>
        <v/>
      </c>
      <c r="U421" s="13" t="str">
        <f>_xlfn.IFNA(VLOOKUP(Tabla3[[#This Row],[Señal]],SEÑAL[#All],2,0),"")</f>
        <v/>
      </c>
      <c r="V421" s="13" t="str">
        <f>_xlfn.IFNA(VLOOKUP(Tabla3[[#This Row],[NUMERO]],SEÑAL[#All],2,0),"")</f>
        <v/>
      </c>
    </row>
    <row r="422" spans="1:22" x14ac:dyDescent="0.25">
      <c r="A422" s="26" t="s">
        <v>1210</v>
      </c>
      <c r="B422" s="2" t="s">
        <v>8</v>
      </c>
      <c r="C422" s="2" t="s">
        <v>89</v>
      </c>
      <c r="D422" s="2" t="s">
        <v>109</v>
      </c>
      <c r="E422" s="2" t="s">
        <v>1381</v>
      </c>
      <c r="J422"/>
      <c r="K422"/>
      <c r="L42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2" s="13" t="str">
        <f>VLOOKUP(Tabla3[[#This Row],[Tipo]],TIPO[#All],2,0)</f>
        <v>ET</v>
      </c>
      <c r="O422" s="13" t="str">
        <f>VLOOKUP(Tabla3[[#This Row],[Lugar]],LUGAR[#All],2,0)</f>
        <v>VMN</v>
      </c>
      <c r="P422" s="13" t="str">
        <f>Tabla3[[#This Row],[SIGLAS]]</f>
        <v>TR3</v>
      </c>
      <c r="Q422" s="13" t="str">
        <f>_xlfn.IFNA(VLOOKUP(Tabla3[[#This Row],[Nivel de tension]],NIVEL[#All],2,0),"")</f>
        <v/>
      </c>
      <c r="R422" s="13" t="str">
        <f>_xlfn.IFNA(VLOOKUP(Tabla3[[#This Row],[DISPOSITIVO]],DISPOSITIVO[],2,0),"")</f>
        <v/>
      </c>
      <c r="S422" s="13" t="str">
        <f>_xlfn.IFNA(VLOOKUP(Tabla3[[#This Row],[PROTECCION SECUNDARIA]],PROTECCION_SECUNDARIA[],2,0),"")</f>
        <v/>
      </c>
      <c r="T422" s="13" t="str">
        <f>_xlfn.IFNA(VLOOKUP(Tabla3[[#This Row],[Que]],QUE[#All],2,0),"")</f>
        <v/>
      </c>
      <c r="U422" s="13" t="str">
        <f>_xlfn.IFNA(VLOOKUP(Tabla3[[#This Row],[Señal]],SEÑAL[#All],2,0),"")</f>
        <v/>
      </c>
      <c r="V422" s="13" t="str">
        <f>_xlfn.IFNA(VLOOKUP(Tabla3[[#This Row],[NUMERO]],SEÑAL[#All],2,0),"")</f>
        <v/>
      </c>
    </row>
    <row r="423" spans="1:22" x14ac:dyDescent="0.25">
      <c r="A423" s="26" t="s">
        <v>1211</v>
      </c>
      <c r="B423" s="2" t="s">
        <v>8</v>
      </c>
      <c r="C423" s="2" t="s">
        <v>89</v>
      </c>
      <c r="D423" s="2" t="s">
        <v>109</v>
      </c>
      <c r="E423" s="2" t="s">
        <v>1381</v>
      </c>
      <c r="J423"/>
      <c r="K423"/>
      <c r="L42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3" s="13" t="str">
        <f>VLOOKUP(Tabla3[[#This Row],[Tipo]],TIPO[#All],2,0)</f>
        <v>ET</v>
      </c>
      <c r="O423" s="13" t="str">
        <f>VLOOKUP(Tabla3[[#This Row],[Lugar]],LUGAR[#All],2,0)</f>
        <v>VMN</v>
      </c>
      <c r="P423" s="13" t="str">
        <f>Tabla3[[#This Row],[SIGLAS]]</f>
        <v>TR3</v>
      </c>
      <c r="Q423" s="13" t="str">
        <f>_xlfn.IFNA(VLOOKUP(Tabla3[[#This Row],[Nivel de tension]],NIVEL[#All],2,0),"")</f>
        <v/>
      </c>
      <c r="R423" s="13" t="str">
        <f>_xlfn.IFNA(VLOOKUP(Tabla3[[#This Row],[DISPOSITIVO]],DISPOSITIVO[],2,0),"")</f>
        <v/>
      </c>
      <c r="S423" s="13" t="str">
        <f>_xlfn.IFNA(VLOOKUP(Tabla3[[#This Row],[PROTECCION SECUNDARIA]],PROTECCION_SECUNDARIA[],2,0),"")</f>
        <v/>
      </c>
      <c r="T423" s="13" t="str">
        <f>_xlfn.IFNA(VLOOKUP(Tabla3[[#This Row],[Que]],QUE[#All],2,0),"")</f>
        <v/>
      </c>
      <c r="U423" s="13" t="str">
        <f>_xlfn.IFNA(VLOOKUP(Tabla3[[#This Row],[Señal]],SEÑAL[#All],2,0),"")</f>
        <v/>
      </c>
      <c r="V423" s="13" t="str">
        <f>_xlfn.IFNA(VLOOKUP(Tabla3[[#This Row],[NUMERO]],SEÑAL[#All],2,0),"")</f>
        <v/>
      </c>
    </row>
    <row r="424" spans="1:22" x14ac:dyDescent="0.25">
      <c r="A424" s="26" t="s">
        <v>1212</v>
      </c>
      <c r="B424" s="2" t="s">
        <v>8</v>
      </c>
      <c r="C424" s="2" t="s">
        <v>89</v>
      </c>
      <c r="D424" s="2" t="s">
        <v>109</v>
      </c>
      <c r="E424" s="2" t="s">
        <v>1381</v>
      </c>
      <c r="J424"/>
      <c r="K424"/>
      <c r="L42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4" s="13" t="str">
        <f>VLOOKUP(Tabla3[[#This Row],[Tipo]],TIPO[#All],2,0)</f>
        <v>ET</v>
      </c>
      <c r="O424" s="13" t="str">
        <f>VLOOKUP(Tabla3[[#This Row],[Lugar]],LUGAR[#All],2,0)</f>
        <v>VMN</v>
      </c>
      <c r="P424" s="13" t="str">
        <f>Tabla3[[#This Row],[SIGLAS]]</f>
        <v>TR3</v>
      </c>
      <c r="Q424" s="13" t="str">
        <f>_xlfn.IFNA(VLOOKUP(Tabla3[[#This Row],[Nivel de tension]],NIVEL[#All],2,0),"")</f>
        <v/>
      </c>
      <c r="R424" s="13" t="str">
        <f>_xlfn.IFNA(VLOOKUP(Tabla3[[#This Row],[DISPOSITIVO]],DISPOSITIVO[],2,0),"")</f>
        <v/>
      </c>
      <c r="S424" s="13" t="str">
        <f>_xlfn.IFNA(VLOOKUP(Tabla3[[#This Row],[PROTECCION SECUNDARIA]],PROTECCION_SECUNDARIA[],2,0),"")</f>
        <v/>
      </c>
      <c r="T424" s="13" t="str">
        <f>_xlfn.IFNA(VLOOKUP(Tabla3[[#This Row],[Que]],QUE[#All],2,0),"")</f>
        <v/>
      </c>
      <c r="U424" s="13" t="str">
        <f>_xlfn.IFNA(VLOOKUP(Tabla3[[#This Row],[Señal]],SEÑAL[#All],2,0),"")</f>
        <v/>
      </c>
      <c r="V424" s="13" t="str">
        <f>_xlfn.IFNA(VLOOKUP(Tabla3[[#This Row],[NUMERO]],SEÑAL[#All],2,0),"")</f>
        <v/>
      </c>
    </row>
    <row r="425" spans="1:22" x14ac:dyDescent="0.25">
      <c r="A425" s="26" t="s">
        <v>1213</v>
      </c>
      <c r="B425" s="2" t="s">
        <v>8</v>
      </c>
      <c r="C425" s="2" t="s">
        <v>89</v>
      </c>
      <c r="D425" s="2" t="s">
        <v>109</v>
      </c>
      <c r="E425" s="2" t="s">
        <v>1381</v>
      </c>
      <c r="J425"/>
      <c r="K425"/>
      <c r="L42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5" s="13" t="str">
        <f>VLOOKUP(Tabla3[[#This Row],[Tipo]],TIPO[#All],2,0)</f>
        <v>ET</v>
      </c>
      <c r="O425" s="13" t="str">
        <f>VLOOKUP(Tabla3[[#This Row],[Lugar]],LUGAR[#All],2,0)</f>
        <v>VMN</v>
      </c>
      <c r="P425" s="13" t="str">
        <f>Tabla3[[#This Row],[SIGLAS]]</f>
        <v>TR3</v>
      </c>
      <c r="Q425" s="13" t="str">
        <f>_xlfn.IFNA(VLOOKUP(Tabla3[[#This Row],[Nivel de tension]],NIVEL[#All],2,0),"")</f>
        <v/>
      </c>
      <c r="R425" s="13" t="str">
        <f>_xlfn.IFNA(VLOOKUP(Tabla3[[#This Row],[DISPOSITIVO]],DISPOSITIVO[],2,0),"")</f>
        <v/>
      </c>
      <c r="S425" s="13" t="str">
        <f>_xlfn.IFNA(VLOOKUP(Tabla3[[#This Row],[PROTECCION SECUNDARIA]],PROTECCION_SECUNDARIA[],2,0),"")</f>
        <v/>
      </c>
      <c r="T425" s="13" t="str">
        <f>_xlfn.IFNA(VLOOKUP(Tabla3[[#This Row],[Que]],QUE[#All],2,0),"")</f>
        <v/>
      </c>
      <c r="U425" s="13" t="str">
        <f>_xlfn.IFNA(VLOOKUP(Tabla3[[#This Row],[Señal]],SEÑAL[#All],2,0),"")</f>
        <v/>
      </c>
      <c r="V425" s="13" t="str">
        <f>_xlfn.IFNA(VLOOKUP(Tabla3[[#This Row],[NUMERO]],SEÑAL[#All],2,0),"")</f>
        <v/>
      </c>
    </row>
    <row r="426" spans="1:22" x14ac:dyDescent="0.25">
      <c r="A426" s="26" t="s">
        <v>1214</v>
      </c>
      <c r="B426" s="2" t="s">
        <v>8</v>
      </c>
      <c r="C426" s="2" t="s">
        <v>89</v>
      </c>
      <c r="D426" s="2" t="s">
        <v>109</v>
      </c>
      <c r="E426" s="2" t="s">
        <v>1381</v>
      </c>
      <c r="J426"/>
      <c r="K426"/>
      <c r="L42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6" s="13" t="str">
        <f>VLOOKUP(Tabla3[[#This Row],[Tipo]],TIPO[#All],2,0)</f>
        <v>ET</v>
      </c>
      <c r="O426" s="13" t="str">
        <f>VLOOKUP(Tabla3[[#This Row],[Lugar]],LUGAR[#All],2,0)</f>
        <v>VMN</v>
      </c>
      <c r="P426" s="13" t="str">
        <f>Tabla3[[#This Row],[SIGLAS]]</f>
        <v>TR3</v>
      </c>
      <c r="Q426" s="13" t="str">
        <f>_xlfn.IFNA(VLOOKUP(Tabla3[[#This Row],[Nivel de tension]],NIVEL[#All],2,0),"")</f>
        <v/>
      </c>
      <c r="R426" s="13" t="str">
        <f>_xlfn.IFNA(VLOOKUP(Tabla3[[#This Row],[DISPOSITIVO]],DISPOSITIVO[],2,0),"")</f>
        <v/>
      </c>
      <c r="S426" s="13" t="str">
        <f>_xlfn.IFNA(VLOOKUP(Tabla3[[#This Row],[PROTECCION SECUNDARIA]],PROTECCION_SECUNDARIA[],2,0),"")</f>
        <v/>
      </c>
      <c r="T426" s="13" t="str">
        <f>_xlfn.IFNA(VLOOKUP(Tabla3[[#This Row],[Que]],QUE[#All],2,0),"")</f>
        <v/>
      </c>
      <c r="U426" s="13" t="str">
        <f>_xlfn.IFNA(VLOOKUP(Tabla3[[#This Row],[Señal]],SEÑAL[#All],2,0),"")</f>
        <v/>
      </c>
      <c r="V426" s="13" t="str">
        <f>_xlfn.IFNA(VLOOKUP(Tabla3[[#This Row],[NUMERO]],SEÑAL[#All],2,0),"")</f>
        <v/>
      </c>
    </row>
    <row r="427" spans="1:22" x14ac:dyDescent="0.25">
      <c r="A427" s="26" t="s">
        <v>1215</v>
      </c>
      <c r="B427" s="2" t="s">
        <v>8</v>
      </c>
      <c r="C427" s="2" t="s">
        <v>89</v>
      </c>
      <c r="D427" s="2" t="s">
        <v>109</v>
      </c>
      <c r="E427" s="2" t="s">
        <v>1381</v>
      </c>
      <c r="J427"/>
      <c r="K427"/>
      <c r="L42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7" s="13" t="str">
        <f>VLOOKUP(Tabla3[[#This Row],[Tipo]],TIPO[#All],2,0)</f>
        <v>ET</v>
      </c>
      <c r="O427" s="13" t="str">
        <f>VLOOKUP(Tabla3[[#This Row],[Lugar]],LUGAR[#All],2,0)</f>
        <v>VMN</v>
      </c>
      <c r="P427" s="13" t="str">
        <f>Tabla3[[#This Row],[SIGLAS]]</f>
        <v>TR3</v>
      </c>
      <c r="Q427" s="13" t="str">
        <f>_xlfn.IFNA(VLOOKUP(Tabla3[[#This Row],[Nivel de tension]],NIVEL[#All],2,0),"")</f>
        <v/>
      </c>
      <c r="R427" s="13" t="str">
        <f>_xlfn.IFNA(VLOOKUP(Tabla3[[#This Row],[DISPOSITIVO]],DISPOSITIVO[],2,0),"")</f>
        <v/>
      </c>
      <c r="S427" s="13" t="str">
        <f>_xlfn.IFNA(VLOOKUP(Tabla3[[#This Row],[PROTECCION SECUNDARIA]],PROTECCION_SECUNDARIA[],2,0),"")</f>
        <v/>
      </c>
      <c r="T427" s="13" t="str">
        <f>_xlfn.IFNA(VLOOKUP(Tabla3[[#This Row],[Que]],QUE[#All],2,0),"")</f>
        <v/>
      </c>
      <c r="U427" s="13" t="str">
        <f>_xlfn.IFNA(VLOOKUP(Tabla3[[#This Row],[Señal]],SEÑAL[#All],2,0),"")</f>
        <v/>
      </c>
      <c r="V427" s="13" t="str">
        <f>_xlfn.IFNA(VLOOKUP(Tabla3[[#This Row],[NUMERO]],SEÑAL[#All],2,0),"")</f>
        <v/>
      </c>
    </row>
    <row r="428" spans="1:22" x14ac:dyDescent="0.25">
      <c r="A428" s="26" t="s">
        <v>1216</v>
      </c>
      <c r="B428" s="2" t="s">
        <v>8</v>
      </c>
      <c r="C428" s="2" t="s">
        <v>89</v>
      </c>
      <c r="D428" s="2" t="s">
        <v>109</v>
      </c>
      <c r="E428" s="2" t="s">
        <v>1381</v>
      </c>
      <c r="J428"/>
      <c r="K428"/>
      <c r="L42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8" s="13" t="str">
        <f>VLOOKUP(Tabla3[[#This Row],[Tipo]],TIPO[#All],2,0)</f>
        <v>ET</v>
      </c>
      <c r="O428" s="13" t="str">
        <f>VLOOKUP(Tabla3[[#This Row],[Lugar]],LUGAR[#All],2,0)</f>
        <v>VMN</v>
      </c>
      <c r="P428" s="13" t="str">
        <f>Tabla3[[#This Row],[SIGLAS]]</f>
        <v>TR3</v>
      </c>
      <c r="Q428" s="13" t="str">
        <f>_xlfn.IFNA(VLOOKUP(Tabla3[[#This Row],[Nivel de tension]],NIVEL[#All],2,0),"")</f>
        <v/>
      </c>
      <c r="R428" s="13" t="str">
        <f>_xlfn.IFNA(VLOOKUP(Tabla3[[#This Row],[DISPOSITIVO]],DISPOSITIVO[],2,0),"")</f>
        <v/>
      </c>
      <c r="S428" s="13" t="str">
        <f>_xlfn.IFNA(VLOOKUP(Tabla3[[#This Row],[PROTECCION SECUNDARIA]],PROTECCION_SECUNDARIA[],2,0),"")</f>
        <v/>
      </c>
      <c r="T428" s="13" t="str">
        <f>_xlfn.IFNA(VLOOKUP(Tabla3[[#This Row],[Que]],QUE[#All],2,0),"")</f>
        <v/>
      </c>
      <c r="U428" s="13" t="str">
        <f>_xlfn.IFNA(VLOOKUP(Tabla3[[#This Row],[Señal]],SEÑAL[#All],2,0),"")</f>
        <v/>
      </c>
      <c r="V428" s="13" t="str">
        <f>_xlfn.IFNA(VLOOKUP(Tabla3[[#This Row],[NUMERO]],SEÑAL[#All],2,0),"")</f>
        <v/>
      </c>
    </row>
    <row r="429" spans="1:22" x14ac:dyDescent="0.25">
      <c r="A429" s="26" t="s">
        <v>1217</v>
      </c>
      <c r="B429" s="2" t="s">
        <v>8</v>
      </c>
      <c r="C429" s="2" t="s">
        <v>89</v>
      </c>
      <c r="D429" s="2" t="s">
        <v>109</v>
      </c>
      <c r="E429" s="2" t="s">
        <v>1381</v>
      </c>
      <c r="J429"/>
      <c r="K429"/>
      <c r="L42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29" s="13" t="str">
        <f>VLOOKUP(Tabla3[[#This Row],[Tipo]],TIPO[#All],2,0)</f>
        <v>ET</v>
      </c>
      <c r="O429" s="13" t="str">
        <f>VLOOKUP(Tabla3[[#This Row],[Lugar]],LUGAR[#All],2,0)</f>
        <v>VMN</v>
      </c>
      <c r="P429" s="13" t="str">
        <f>Tabla3[[#This Row],[SIGLAS]]</f>
        <v>TR3</v>
      </c>
      <c r="Q429" s="13" t="str">
        <f>_xlfn.IFNA(VLOOKUP(Tabla3[[#This Row],[Nivel de tension]],NIVEL[#All],2,0),"")</f>
        <v/>
      </c>
      <c r="R429" s="13" t="str">
        <f>_xlfn.IFNA(VLOOKUP(Tabla3[[#This Row],[DISPOSITIVO]],DISPOSITIVO[],2,0),"")</f>
        <v/>
      </c>
      <c r="S429" s="13" t="str">
        <f>_xlfn.IFNA(VLOOKUP(Tabla3[[#This Row],[PROTECCION SECUNDARIA]],PROTECCION_SECUNDARIA[],2,0),"")</f>
        <v/>
      </c>
      <c r="T429" s="13" t="str">
        <f>_xlfn.IFNA(VLOOKUP(Tabla3[[#This Row],[Que]],QUE[#All],2,0),"")</f>
        <v/>
      </c>
      <c r="U429" s="13" t="str">
        <f>_xlfn.IFNA(VLOOKUP(Tabla3[[#This Row],[Señal]],SEÑAL[#All],2,0),"")</f>
        <v/>
      </c>
      <c r="V429" s="13" t="str">
        <f>_xlfn.IFNA(VLOOKUP(Tabla3[[#This Row],[NUMERO]],SEÑAL[#All],2,0),"")</f>
        <v/>
      </c>
    </row>
    <row r="430" spans="1:22" x14ac:dyDescent="0.25">
      <c r="A430" s="26" t="s">
        <v>1218</v>
      </c>
      <c r="B430" s="2" t="s">
        <v>8</v>
      </c>
      <c r="C430" s="2" t="s">
        <v>89</v>
      </c>
      <c r="D430" s="2" t="s">
        <v>109</v>
      </c>
      <c r="E430" s="2" t="s">
        <v>1381</v>
      </c>
      <c r="J430"/>
      <c r="K430"/>
      <c r="L43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0" s="13" t="str">
        <f>VLOOKUP(Tabla3[[#This Row],[Tipo]],TIPO[#All],2,0)</f>
        <v>ET</v>
      </c>
      <c r="O430" s="13" t="str">
        <f>VLOOKUP(Tabla3[[#This Row],[Lugar]],LUGAR[#All],2,0)</f>
        <v>VMN</v>
      </c>
      <c r="P430" s="13" t="str">
        <f>Tabla3[[#This Row],[SIGLAS]]</f>
        <v>TR3</v>
      </c>
      <c r="Q430" s="13" t="str">
        <f>_xlfn.IFNA(VLOOKUP(Tabla3[[#This Row],[Nivel de tension]],NIVEL[#All],2,0),"")</f>
        <v/>
      </c>
      <c r="R430" s="13" t="str">
        <f>_xlfn.IFNA(VLOOKUP(Tabla3[[#This Row],[DISPOSITIVO]],DISPOSITIVO[],2,0),"")</f>
        <v/>
      </c>
      <c r="S430" s="13" t="str">
        <f>_xlfn.IFNA(VLOOKUP(Tabla3[[#This Row],[PROTECCION SECUNDARIA]],PROTECCION_SECUNDARIA[],2,0),"")</f>
        <v/>
      </c>
      <c r="T430" s="13" t="str">
        <f>_xlfn.IFNA(VLOOKUP(Tabla3[[#This Row],[Que]],QUE[#All],2,0),"")</f>
        <v/>
      </c>
      <c r="U430" s="13" t="str">
        <f>_xlfn.IFNA(VLOOKUP(Tabla3[[#This Row],[Señal]],SEÑAL[#All],2,0),"")</f>
        <v/>
      </c>
      <c r="V430" s="13" t="str">
        <f>_xlfn.IFNA(VLOOKUP(Tabla3[[#This Row],[NUMERO]],SEÑAL[#All],2,0),"")</f>
        <v/>
      </c>
    </row>
    <row r="431" spans="1:22" x14ac:dyDescent="0.25">
      <c r="A431" s="26" t="s">
        <v>1219</v>
      </c>
      <c r="B431" s="2" t="s">
        <v>8</v>
      </c>
      <c r="C431" s="2" t="s">
        <v>89</v>
      </c>
      <c r="D431" s="2" t="s">
        <v>109</v>
      </c>
      <c r="E431" s="2" t="s">
        <v>1381</v>
      </c>
      <c r="J431"/>
      <c r="K431"/>
      <c r="L43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1" s="13" t="str">
        <f>VLOOKUP(Tabla3[[#This Row],[Tipo]],TIPO[#All],2,0)</f>
        <v>ET</v>
      </c>
      <c r="O431" s="13" t="str">
        <f>VLOOKUP(Tabla3[[#This Row],[Lugar]],LUGAR[#All],2,0)</f>
        <v>VMN</v>
      </c>
      <c r="P431" s="13" t="str">
        <f>Tabla3[[#This Row],[SIGLAS]]</f>
        <v>TR3</v>
      </c>
      <c r="Q431" s="13" t="str">
        <f>_xlfn.IFNA(VLOOKUP(Tabla3[[#This Row],[Nivel de tension]],NIVEL[#All],2,0),"")</f>
        <v/>
      </c>
      <c r="R431" s="13" t="str">
        <f>_xlfn.IFNA(VLOOKUP(Tabla3[[#This Row],[DISPOSITIVO]],DISPOSITIVO[],2,0),"")</f>
        <v/>
      </c>
      <c r="S431" s="13" t="str">
        <f>_xlfn.IFNA(VLOOKUP(Tabla3[[#This Row],[PROTECCION SECUNDARIA]],PROTECCION_SECUNDARIA[],2,0),"")</f>
        <v/>
      </c>
      <c r="T431" s="13" t="str">
        <f>_xlfn.IFNA(VLOOKUP(Tabla3[[#This Row],[Que]],QUE[#All],2,0),"")</f>
        <v/>
      </c>
      <c r="U431" s="13" t="str">
        <f>_xlfn.IFNA(VLOOKUP(Tabla3[[#This Row],[Señal]],SEÑAL[#All],2,0),"")</f>
        <v/>
      </c>
      <c r="V431" s="13" t="str">
        <f>_xlfn.IFNA(VLOOKUP(Tabla3[[#This Row],[NUMERO]],SEÑAL[#All],2,0),"")</f>
        <v/>
      </c>
    </row>
    <row r="432" spans="1:22" x14ac:dyDescent="0.25">
      <c r="A432" s="26" t="s">
        <v>1220</v>
      </c>
      <c r="B432" s="2" t="s">
        <v>8</v>
      </c>
      <c r="C432" s="2" t="s">
        <v>89</v>
      </c>
      <c r="D432" s="2" t="s">
        <v>109</v>
      </c>
      <c r="E432" s="2" t="s">
        <v>1381</v>
      </c>
      <c r="J432"/>
      <c r="K432"/>
      <c r="L43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2" s="13" t="str">
        <f>VLOOKUP(Tabla3[[#This Row],[Tipo]],TIPO[#All],2,0)</f>
        <v>ET</v>
      </c>
      <c r="O432" s="13" t="str">
        <f>VLOOKUP(Tabla3[[#This Row],[Lugar]],LUGAR[#All],2,0)</f>
        <v>VMN</v>
      </c>
      <c r="P432" s="13" t="str">
        <f>Tabla3[[#This Row],[SIGLAS]]</f>
        <v>TR3</v>
      </c>
      <c r="Q432" s="13" t="str">
        <f>_xlfn.IFNA(VLOOKUP(Tabla3[[#This Row],[Nivel de tension]],NIVEL[#All],2,0),"")</f>
        <v/>
      </c>
      <c r="R432" s="13" t="str">
        <f>_xlfn.IFNA(VLOOKUP(Tabla3[[#This Row],[DISPOSITIVO]],DISPOSITIVO[],2,0),"")</f>
        <v/>
      </c>
      <c r="S432" s="13" t="str">
        <f>_xlfn.IFNA(VLOOKUP(Tabla3[[#This Row],[PROTECCION SECUNDARIA]],PROTECCION_SECUNDARIA[],2,0),"")</f>
        <v/>
      </c>
      <c r="T432" s="13" t="str">
        <f>_xlfn.IFNA(VLOOKUP(Tabla3[[#This Row],[Que]],QUE[#All],2,0),"")</f>
        <v/>
      </c>
      <c r="U432" s="13" t="str">
        <f>_xlfn.IFNA(VLOOKUP(Tabla3[[#This Row],[Señal]],SEÑAL[#All],2,0),"")</f>
        <v/>
      </c>
      <c r="V432" s="13" t="str">
        <f>_xlfn.IFNA(VLOOKUP(Tabla3[[#This Row],[NUMERO]],SEÑAL[#All],2,0),"")</f>
        <v/>
      </c>
    </row>
    <row r="433" spans="1:22" x14ac:dyDescent="0.25">
      <c r="A433" s="26" t="s">
        <v>1221</v>
      </c>
      <c r="B433" s="2" t="s">
        <v>8</v>
      </c>
      <c r="C433" s="2" t="s">
        <v>89</v>
      </c>
      <c r="D433" s="2" t="s">
        <v>109</v>
      </c>
      <c r="E433" s="2" t="s">
        <v>1381</v>
      </c>
      <c r="J433"/>
      <c r="K433"/>
      <c r="L43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3" s="13" t="str">
        <f>VLOOKUP(Tabla3[[#This Row],[Tipo]],TIPO[#All],2,0)</f>
        <v>ET</v>
      </c>
      <c r="O433" s="13" t="str">
        <f>VLOOKUP(Tabla3[[#This Row],[Lugar]],LUGAR[#All],2,0)</f>
        <v>VMN</v>
      </c>
      <c r="P433" s="13" t="str">
        <f>Tabla3[[#This Row],[SIGLAS]]</f>
        <v>TR3</v>
      </c>
      <c r="Q433" s="13" t="str">
        <f>_xlfn.IFNA(VLOOKUP(Tabla3[[#This Row],[Nivel de tension]],NIVEL[#All],2,0),"")</f>
        <v/>
      </c>
      <c r="R433" s="13" t="str">
        <f>_xlfn.IFNA(VLOOKUP(Tabla3[[#This Row],[DISPOSITIVO]],DISPOSITIVO[],2,0),"")</f>
        <v/>
      </c>
      <c r="S433" s="13" t="str">
        <f>_xlfn.IFNA(VLOOKUP(Tabla3[[#This Row],[PROTECCION SECUNDARIA]],PROTECCION_SECUNDARIA[],2,0),"")</f>
        <v/>
      </c>
      <c r="T433" s="13" t="str">
        <f>_xlfn.IFNA(VLOOKUP(Tabla3[[#This Row],[Que]],QUE[#All],2,0),"")</f>
        <v/>
      </c>
      <c r="U433" s="13" t="str">
        <f>_xlfn.IFNA(VLOOKUP(Tabla3[[#This Row],[Señal]],SEÑAL[#All],2,0),"")</f>
        <v/>
      </c>
      <c r="V433" s="13" t="str">
        <f>_xlfn.IFNA(VLOOKUP(Tabla3[[#This Row],[NUMERO]],SEÑAL[#All],2,0),"")</f>
        <v/>
      </c>
    </row>
    <row r="434" spans="1:22" x14ac:dyDescent="0.25">
      <c r="A434" s="26" t="s">
        <v>1222</v>
      </c>
      <c r="B434" s="2" t="s">
        <v>8</v>
      </c>
      <c r="C434" s="2" t="s">
        <v>89</v>
      </c>
      <c r="D434" s="2" t="s">
        <v>109</v>
      </c>
      <c r="E434" s="2" t="s">
        <v>1381</v>
      </c>
      <c r="J434"/>
      <c r="K434"/>
      <c r="L43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4" s="13" t="str">
        <f>VLOOKUP(Tabla3[[#This Row],[Tipo]],TIPO[#All],2,0)</f>
        <v>ET</v>
      </c>
      <c r="O434" s="13" t="str">
        <f>VLOOKUP(Tabla3[[#This Row],[Lugar]],LUGAR[#All],2,0)</f>
        <v>VMN</v>
      </c>
      <c r="P434" s="13" t="str">
        <f>Tabla3[[#This Row],[SIGLAS]]</f>
        <v>TR3</v>
      </c>
      <c r="Q434" s="13" t="str">
        <f>_xlfn.IFNA(VLOOKUP(Tabla3[[#This Row],[Nivel de tension]],NIVEL[#All],2,0),"")</f>
        <v/>
      </c>
      <c r="R434" s="13" t="str">
        <f>_xlfn.IFNA(VLOOKUP(Tabla3[[#This Row],[DISPOSITIVO]],DISPOSITIVO[],2,0),"")</f>
        <v/>
      </c>
      <c r="S434" s="13" t="str">
        <f>_xlfn.IFNA(VLOOKUP(Tabla3[[#This Row],[PROTECCION SECUNDARIA]],PROTECCION_SECUNDARIA[],2,0),"")</f>
        <v/>
      </c>
      <c r="T434" s="13" t="str">
        <f>_xlfn.IFNA(VLOOKUP(Tabla3[[#This Row],[Que]],QUE[#All],2,0),"")</f>
        <v/>
      </c>
      <c r="U434" s="13" t="str">
        <f>_xlfn.IFNA(VLOOKUP(Tabla3[[#This Row],[Señal]],SEÑAL[#All],2,0),"")</f>
        <v/>
      </c>
      <c r="V434" s="13" t="str">
        <f>_xlfn.IFNA(VLOOKUP(Tabla3[[#This Row],[NUMERO]],SEÑAL[#All],2,0),"")</f>
        <v/>
      </c>
    </row>
    <row r="435" spans="1:22" x14ac:dyDescent="0.25">
      <c r="A435" s="26" t="s">
        <v>1223</v>
      </c>
      <c r="B435" s="2" t="s">
        <v>8</v>
      </c>
      <c r="C435" s="2" t="s">
        <v>89</v>
      </c>
      <c r="D435" s="2" t="s">
        <v>109</v>
      </c>
      <c r="E435" s="2" t="s">
        <v>1381</v>
      </c>
      <c r="J435"/>
      <c r="K435"/>
      <c r="L43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5" s="13" t="str">
        <f>VLOOKUP(Tabla3[[#This Row],[Tipo]],TIPO[#All],2,0)</f>
        <v>ET</v>
      </c>
      <c r="O435" s="13" t="str">
        <f>VLOOKUP(Tabla3[[#This Row],[Lugar]],LUGAR[#All],2,0)</f>
        <v>VMN</v>
      </c>
      <c r="P435" s="13" t="str">
        <f>Tabla3[[#This Row],[SIGLAS]]</f>
        <v>TR3</v>
      </c>
      <c r="Q435" s="13" t="str">
        <f>_xlfn.IFNA(VLOOKUP(Tabla3[[#This Row],[Nivel de tension]],NIVEL[#All],2,0),"")</f>
        <v/>
      </c>
      <c r="R435" s="13" t="str">
        <f>_xlfn.IFNA(VLOOKUP(Tabla3[[#This Row],[DISPOSITIVO]],DISPOSITIVO[],2,0),"")</f>
        <v/>
      </c>
      <c r="S435" s="13" t="str">
        <f>_xlfn.IFNA(VLOOKUP(Tabla3[[#This Row],[PROTECCION SECUNDARIA]],PROTECCION_SECUNDARIA[],2,0),"")</f>
        <v/>
      </c>
      <c r="T435" s="13" t="str">
        <f>_xlfn.IFNA(VLOOKUP(Tabla3[[#This Row],[Que]],QUE[#All],2,0),"")</f>
        <v/>
      </c>
      <c r="U435" s="13" t="str">
        <f>_xlfn.IFNA(VLOOKUP(Tabla3[[#This Row],[Señal]],SEÑAL[#All],2,0),"")</f>
        <v/>
      </c>
      <c r="V435" s="13" t="str">
        <f>_xlfn.IFNA(VLOOKUP(Tabla3[[#This Row],[NUMERO]],SEÑAL[#All],2,0),"")</f>
        <v/>
      </c>
    </row>
    <row r="436" spans="1:22" x14ac:dyDescent="0.25">
      <c r="A436" s="26" t="s">
        <v>1224</v>
      </c>
      <c r="B436" s="2" t="s">
        <v>8</v>
      </c>
      <c r="C436" s="2" t="s">
        <v>89</v>
      </c>
      <c r="D436" s="2" t="s">
        <v>109</v>
      </c>
      <c r="E436" s="2" t="s">
        <v>1381</v>
      </c>
      <c r="J436"/>
      <c r="K436"/>
      <c r="L43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6" s="13" t="str">
        <f>VLOOKUP(Tabla3[[#This Row],[Tipo]],TIPO[#All],2,0)</f>
        <v>ET</v>
      </c>
      <c r="O436" s="13" t="str">
        <f>VLOOKUP(Tabla3[[#This Row],[Lugar]],LUGAR[#All],2,0)</f>
        <v>VMN</v>
      </c>
      <c r="P436" s="13" t="str">
        <f>Tabla3[[#This Row],[SIGLAS]]</f>
        <v>TR3</v>
      </c>
      <c r="Q436" s="13" t="str">
        <f>_xlfn.IFNA(VLOOKUP(Tabla3[[#This Row],[Nivel de tension]],NIVEL[#All],2,0),"")</f>
        <v/>
      </c>
      <c r="R436" s="13" t="str">
        <f>_xlfn.IFNA(VLOOKUP(Tabla3[[#This Row],[DISPOSITIVO]],DISPOSITIVO[],2,0),"")</f>
        <v/>
      </c>
      <c r="S436" s="13" t="str">
        <f>_xlfn.IFNA(VLOOKUP(Tabla3[[#This Row],[PROTECCION SECUNDARIA]],PROTECCION_SECUNDARIA[],2,0),"")</f>
        <v/>
      </c>
      <c r="T436" s="13" t="str">
        <f>_xlfn.IFNA(VLOOKUP(Tabla3[[#This Row],[Que]],QUE[#All],2,0),"")</f>
        <v/>
      </c>
      <c r="U436" s="13" t="str">
        <f>_xlfn.IFNA(VLOOKUP(Tabla3[[#This Row],[Señal]],SEÑAL[#All],2,0),"")</f>
        <v/>
      </c>
      <c r="V436" s="13" t="str">
        <f>_xlfn.IFNA(VLOOKUP(Tabla3[[#This Row],[NUMERO]],SEÑAL[#All],2,0),"")</f>
        <v/>
      </c>
    </row>
    <row r="437" spans="1:22" x14ac:dyDescent="0.25">
      <c r="A437" s="26" t="s">
        <v>1225</v>
      </c>
      <c r="B437" s="2" t="s">
        <v>8</v>
      </c>
      <c r="C437" s="2" t="s">
        <v>89</v>
      </c>
      <c r="D437" s="2" t="s">
        <v>109</v>
      </c>
      <c r="E437" s="2" t="s">
        <v>1381</v>
      </c>
      <c r="J437"/>
      <c r="K437"/>
      <c r="L43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7" s="13" t="str">
        <f>VLOOKUP(Tabla3[[#This Row],[Tipo]],TIPO[#All],2,0)</f>
        <v>ET</v>
      </c>
      <c r="O437" s="13" t="str">
        <f>VLOOKUP(Tabla3[[#This Row],[Lugar]],LUGAR[#All],2,0)</f>
        <v>VMN</v>
      </c>
      <c r="P437" s="13" t="str">
        <f>Tabla3[[#This Row],[SIGLAS]]</f>
        <v>TR3</v>
      </c>
      <c r="Q437" s="13" t="str">
        <f>_xlfn.IFNA(VLOOKUP(Tabla3[[#This Row],[Nivel de tension]],NIVEL[#All],2,0),"")</f>
        <v/>
      </c>
      <c r="R437" s="13" t="str">
        <f>_xlfn.IFNA(VLOOKUP(Tabla3[[#This Row],[DISPOSITIVO]],DISPOSITIVO[],2,0),"")</f>
        <v/>
      </c>
      <c r="S437" s="13" t="str">
        <f>_xlfn.IFNA(VLOOKUP(Tabla3[[#This Row],[PROTECCION SECUNDARIA]],PROTECCION_SECUNDARIA[],2,0),"")</f>
        <v/>
      </c>
      <c r="T437" s="13" t="str">
        <f>_xlfn.IFNA(VLOOKUP(Tabla3[[#This Row],[Que]],QUE[#All],2,0),"")</f>
        <v/>
      </c>
      <c r="U437" s="13" t="str">
        <f>_xlfn.IFNA(VLOOKUP(Tabla3[[#This Row],[Señal]],SEÑAL[#All],2,0),"")</f>
        <v/>
      </c>
      <c r="V437" s="13" t="str">
        <f>_xlfn.IFNA(VLOOKUP(Tabla3[[#This Row],[NUMERO]],SEÑAL[#All],2,0),"")</f>
        <v/>
      </c>
    </row>
    <row r="438" spans="1:22" x14ac:dyDescent="0.25">
      <c r="A438" s="26" t="s">
        <v>1226</v>
      </c>
      <c r="B438" s="2" t="s">
        <v>8</v>
      </c>
      <c r="C438" s="2" t="s">
        <v>89</v>
      </c>
      <c r="D438" s="2" t="s">
        <v>109</v>
      </c>
      <c r="E438" s="2" t="s">
        <v>1381</v>
      </c>
      <c r="J438"/>
      <c r="K438"/>
      <c r="L43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8" s="13" t="str">
        <f>VLOOKUP(Tabla3[[#This Row],[Tipo]],TIPO[#All],2,0)</f>
        <v>ET</v>
      </c>
      <c r="O438" s="13" t="str">
        <f>VLOOKUP(Tabla3[[#This Row],[Lugar]],LUGAR[#All],2,0)</f>
        <v>VMN</v>
      </c>
      <c r="P438" s="13" t="str">
        <f>Tabla3[[#This Row],[SIGLAS]]</f>
        <v>TR3</v>
      </c>
      <c r="Q438" s="13" t="str">
        <f>_xlfn.IFNA(VLOOKUP(Tabla3[[#This Row],[Nivel de tension]],NIVEL[#All],2,0),"")</f>
        <v/>
      </c>
      <c r="R438" s="13" t="str">
        <f>_xlfn.IFNA(VLOOKUP(Tabla3[[#This Row],[DISPOSITIVO]],DISPOSITIVO[],2,0),"")</f>
        <v/>
      </c>
      <c r="S438" s="13" t="str">
        <f>_xlfn.IFNA(VLOOKUP(Tabla3[[#This Row],[PROTECCION SECUNDARIA]],PROTECCION_SECUNDARIA[],2,0),"")</f>
        <v/>
      </c>
      <c r="T438" s="13" t="str">
        <f>_xlfn.IFNA(VLOOKUP(Tabla3[[#This Row],[Que]],QUE[#All],2,0),"")</f>
        <v/>
      </c>
      <c r="U438" s="13" t="str">
        <f>_xlfn.IFNA(VLOOKUP(Tabla3[[#This Row],[Señal]],SEÑAL[#All],2,0),"")</f>
        <v/>
      </c>
      <c r="V438" s="13" t="str">
        <f>_xlfn.IFNA(VLOOKUP(Tabla3[[#This Row],[NUMERO]],SEÑAL[#All],2,0),"")</f>
        <v/>
      </c>
    </row>
    <row r="439" spans="1:22" x14ac:dyDescent="0.25">
      <c r="A439" s="26" t="s">
        <v>1227</v>
      </c>
      <c r="B439" s="2" t="s">
        <v>8</v>
      </c>
      <c r="C439" s="2" t="s">
        <v>89</v>
      </c>
      <c r="D439" s="2" t="s">
        <v>109</v>
      </c>
      <c r="E439" s="2" t="s">
        <v>1381</v>
      </c>
      <c r="J439"/>
      <c r="K439"/>
      <c r="L43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39" s="13" t="str">
        <f>VLOOKUP(Tabla3[[#This Row],[Tipo]],TIPO[#All],2,0)</f>
        <v>ET</v>
      </c>
      <c r="O439" s="13" t="str">
        <f>VLOOKUP(Tabla3[[#This Row],[Lugar]],LUGAR[#All],2,0)</f>
        <v>VMN</v>
      </c>
      <c r="P439" s="13" t="str">
        <f>Tabla3[[#This Row],[SIGLAS]]</f>
        <v>TR3</v>
      </c>
      <c r="Q439" s="13" t="str">
        <f>_xlfn.IFNA(VLOOKUP(Tabla3[[#This Row],[Nivel de tension]],NIVEL[#All],2,0),"")</f>
        <v/>
      </c>
      <c r="R439" s="13" t="str">
        <f>_xlfn.IFNA(VLOOKUP(Tabla3[[#This Row],[DISPOSITIVO]],DISPOSITIVO[],2,0),"")</f>
        <v/>
      </c>
      <c r="S439" s="13" t="str">
        <f>_xlfn.IFNA(VLOOKUP(Tabla3[[#This Row],[PROTECCION SECUNDARIA]],PROTECCION_SECUNDARIA[],2,0),"")</f>
        <v/>
      </c>
      <c r="T439" s="13" t="str">
        <f>_xlfn.IFNA(VLOOKUP(Tabla3[[#This Row],[Que]],QUE[#All],2,0),"")</f>
        <v/>
      </c>
      <c r="U439" s="13" t="str">
        <f>_xlfn.IFNA(VLOOKUP(Tabla3[[#This Row],[Señal]],SEÑAL[#All],2,0),"")</f>
        <v/>
      </c>
      <c r="V439" s="13" t="str">
        <f>_xlfn.IFNA(VLOOKUP(Tabla3[[#This Row],[NUMERO]],SEÑAL[#All],2,0),"")</f>
        <v/>
      </c>
    </row>
    <row r="440" spans="1:22" x14ac:dyDescent="0.25">
      <c r="A440" s="26" t="s">
        <v>1228</v>
      </c>
      <c r="B440" s="2" t="s">
        <v>8</v>
      </c>
      <c r="C440" s="2" t="s">
        <v>89</v>
      </c>
      <c r="D440" s="2" t="s">
        <v>109</v>
      </c>
      <c r="E440" s="2" t="s">
        <v>1381</v>
      </c>
      <c r="J440"/>
      <c r="K440"/>
      <c r="L44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0" s="13" t="str">
        <f>VLOOKUP(Tabla3[[#This Row],[Tipo]],TIPO[#All],2,0)</f>
        <v>ET</v>
      </c>
      <c r="O440" s="13" t="str">
        <f>VLOOKUP(Tabla3[[#This Row],[Lugar]],LUGAR[#All],2,0)</f>
        <v>VMN</v>
      </c>
      <c r="P440" s="13" t="str">
        <f>Tabla3[[#This Row],[SIGLAS]]</f>
        <v>TR3</v>
      </c>
      <c r="Q440" s="13" t="str">
        <f>_xlfn.IFNA(VLOOKUP(Tabla3[[#This Row],[Nivel de tension]],NIVEL[#All],2,0),"")</f>
        <v/>
      </c>
      <c r="R440" s="13" t="str">
        <f>_xlfn.IFNA(VLOOKUP(Tabla3[[#This Row],[DISPOSITIVO]],DISPOSITIVO[],2,0),"")</f>
        <v/>
      </c>
      <c r="S440" s="13" t="str">
        <f>_xlfn.IFNA(VLOOKUP(Tabla3[[#This Row],[PROTECCION SECUNDARIA]],PROTECCION_SECUNDARIA[],2,0),"")</f>
        <v/>
      </c>
      <c r="T440" s="13" t="str">
        <f>_xlfn.IFNA(VLOOKUP(Tabla3[[#This Row],[Que]],QUE[#All],2,0),"")</f>
        <v/>
      </c>
      <c r="U440" s="13" t="str">
        <f>_xlfn.IFNA(VLOOKUP(Tabla3[[#This Row],[Señal]],SEÑAL[#All],2,0),"")</f>
        <v/>
      </c>
      <c r="V440" s="13" t="str">
        <f>_xlfn.IFNA(VLOOKUP(Tabla3[[#This Row],[NUMERO]],SEÑAL[#All],2,0),"")</f>
        <v/>
      </c>
    </row>
    <row r="441" spans="1:22" x14ac:dyDescent="0.25">
      <c r="A441" s="26" t="s">
        <v>1229</v>
      </c>
      <c r="B441" s="2" t="s">
        <v>8</v>
      </c>
      <c r="C441" s="2" t="s">
        <v>89</v>
      </c>
      <c r="D441" s="2" t="s">
        <v>109</v>
      </c>
      <c r="E441" s="2" t="s">
        <v>1381</v>
      </c>
      <c r="J441"/>
      <c r="K441"/>
      <c r="L44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1" s="13" t="str">
        <f>VLOOKUP(Tabla3[[#This Row],[Tipo]],TIPO[#All],2,0)</f>
        <v>ET</v>
      </c>
      <c r="O441" s="13" t="str">
        <f>VLOOKUP(Tabla3[[#This Row],[Lugar]],LUGAR[#All],2,0)</f>
        <v>VMN</v>
      </c>
      <c r="P441" s="13" t="str">
        <f>Tabla3[[#This Row],[SIGLAS]]</f>
        <v>TR3</v>
      </c>
      <c r="Q441" s="13" t="str">
        <f>_xlfn.IFNA(VLOOKUP(Tabla3[[#This Row],[Nivel de tension]],NIVEL[#All],2,0),"")</f>
        <v/>
      </c>
      <c r="R441" s="13" t="str">
        <f>_xlfn.IFNA(VLOOKUP(Tabla3[[#This Row],[DISPOSITIVO]],DISPOSITIVO[],2,0),"")</f>
        <v/>
      </c>
      <c r="S441" s="13" t="str">
        <f>_xlfn.IFNA(VLOOKUP(Tabla3[[#This Row],[PROTECCION SECUNDARIA]],PROTECCION_SECUNDARIA[],2,0),"")</f>
        <v/>
      </c>
      <c r="T441" s="13" t="str">
        <f>_xlfn.IFNA(VLOOKUP(Tabla3[[#This Row],[Que]],QUE[#All],2,0),"")</f>
        <v/>
      </c>
      <c r="U441" s="13" t="str">
        <f>_xlfn.IFNA(VLOOKUP(Tabla3[[#This Row],[Señal]],SEÑAL[#All],2,0),"")</f>
        <v/>
      </c>
      <c r="V441" s="13" t="str">
        <f>_xlfn.IFNA(VLOOKUP(Tabla3[[#This Row],[NUMERO]],SEÑAL[#All],2,0),"")</f>
        <v/>
      </c>
    </row>
    <row r="442" spans="1:22" x14ac:dyDescent="0.25">
      <c r="A442" s="26" t="s">
        <v>1230</v>
      </c>
      <c r="B442" s="2" t="s">
        <v>8</v>
      </c>
      <c r="C442" s="2" t="s">
        <v>89</v>
      </c>
      <c r="D442" s="2" t="s">
        <v>109</v>
      </c>
      <c r="E442" s="2" t="s">
        <v>1381</v>
      </c>
      <c r="J442"/>
      <c r="K442"/>
      <c r="L44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2" s="13" t="str">
        <f>VLOOKUP(Tabla3[[#This Row],[Tipo]],TIPO[#All],2,0)</f>
        <v>ET</v>
      </c>
      <c r="O442" s="13" t="str">
        <f>VLOOKUP(Tabla3[[#This Row],[Lugar]],LUGAR[#All],2,0)</f>
        <v>VMN</v>
      </c>
      <c r="P442" s="13" t="str">
        <f>Tabla3[[#This Row],[SIGLAS]]</f>
        <v>TR3</v>
      </c>
      <c r="Q442" s="13" t="str">
        <f>_xlfn.IFNA(VLOOKUP(Tabla3[[#This Row],[Nivel de tension]],NIVEL[#All],2,0),"")</f>
        <v/>
      </c>
      <c r="R442" s="13" t="str">
        <f>_xlfn.IFNA(VLOOKUP(Tabla3[[#This Row],[DISPOSITIVO]],DISPOSITIVO[],2,0),"")</f>
        <v/>
      </c>
      <c r="S442" s="13" t="str">
        <f>_xlfn.IFNA(VLOOKUP(Tabla3[[#This Row],[PROTECCION SECUNDARIA]],PROTECCION_SECUNDARIA[],2,0),"")</f>
        <v/>
      </c>
      <c r="T442" s="13" t="str">
        <f>_xlfn.IFNA(VLOOKUP(Tabla3[[#This Row],[Que]],QUE[#All],2,0),"")</f>
        <v/>
      </c>
      <c r="U442" s="13" t="str">
        <f>_xlfn.IFNA(VLOOKUP(Tabla3[[#This Row],[Señal]],SEÑAL[#All],2,0),"")</f>
        <v/>
      </c>
      <c r="V442" s="13" t="str">
        <f>_xlfn.IFNA(VLOOKUP(Tabla3[[#This Row],[NUMERO]],SEÑAL[#All],2,0),"")</f>
        <v/>
      </c>
    </row>
    <row r="443" spans="1:22" x14ac:dyDescent="0.25">
      <c r="A443" s="26" t="s">
        <v>1231</v>
      </c>
      <c r="B443" s="2" t="s">
        <v>8</v>
      </c>
      <c r="C443" s="2" t="s">
        <v>89</v>
      </c>
      <c r="D443" s="2" t="s">
        <v>109</v>
      </c>
      <c r="E443" s="2" t="s">
        <v>1381</v>
      </c>
      <c r="J443"/>
      <c r="K443"/>
      <c r="L44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3" s="13" t="str">
        <f>VLOOKUP(Tabla3[[#This Row],[Tipo]],TIPO[#All],2,0)</f>
        <v>ET</v>
      </c>
      <c r="O443" s="13" t="str">
        <f>VLOOKUP(Tabla3[[#This Row],[Lugar]],LUGAR[#All],2,0)</f>
        <v>VMN</v>
      </c>
      <c r="P443" s="13" t="str">
        <f>Tabla3[[#This Row],[SIGLAS]]</f>
        <v>TR3</v>
      </c>
      <c r="Q443" s="13" t="str">
        <f>_xlfn.IFNA(VLOOKUP(Tabla3[[#This Row],[Nivel de tension]],NIVEL[#All],2,0),"")</f>
        <v/>
      </c>
      <c r="R443" s="13" t="str">
        <f>_xlfn.IFNA(VLOOKUP(Tabla3[[#This Row],[DISPOSITIVO]],DISPOSITIVO[],2,0),"")</f>
        <v/>
      </c>
      <c r="S443" s="13" t="str">
        <f>_xlfn.IFNA(VLOOKUP(Tabla3[[#This Row],[PROTECCION SECUNDARIA]],PROTECCION_SECUNDARIA[],2,0),"")</f>
        <v/>
      </c>
      <c r="T443" s="13" t="str">
        <f>_xlfn.IFNA(VLOOKUP(Tabla3[[#This Row],[Que]],QUE[#All],2,0),"")</f>
        <v/>
      </c>
      <c r="U443" s="13" t="str">
        <f>_xlfn.IFNA(VLOOKUP(Tabla3[[#This Row],[Señal]],SEÑAL[#All],2,0),"")</f>
        <v/>
      </c>
      <c r="V443" s="13" t="str">
        <f>_xlfn.IFNA(VLOOKUP(Tabla3[[#This Row],[NUMERO]],SEÑAL[#All],2,0),"")</f>
        <v/>
      </c>
    </row>
    <row r="444" spans="1:22" x14ac:dyDescent="0.25">
      <c r="A444" s="26" t="s">
        <v>1232</v>
      </c>
      <c r="B444" s="2" t="s">
        <v>8</v>
      </c>
      <c r="C444" s="2" t="s">
        <v>89</v>
      </c>
      <c r="D444" s="2" t="s">
        <v>109</v>
      </c>
      <c r="E444" s="2" t="s">
        <v>1381</v>
      </c>
      <c r="J444"/>
      <c r="K444"/>
      <c r="L44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4" s="13" t="str">
        <f>VLOOKUP(Tabla3[[#This Row],[Tipo]],TIPO[#All],2,0)</f>
        <v>ET</v>
      </c>
      <c r="O444" s="13" t="str">
        <f>VLOOKUP(Tabla3[[#This Row],[Lugar]],LUGAR[#All],2,0)</f>
        <v>VMN</v>
      </c>
      <c r="P444" s="13" t="str">
        <f>Tabla3[[#This Row],[SIGLAS]]</f>
        <v>TR3</v>
      </c>
      <c r="Q444" s="13" t="str">
        <f>_xlfn.IFNA(VLOOKUP(Tabla3[[#This Row],[Nivel de tension]],NIVEL[#All],2,0),"")</f>
        <v/>
      </c>
      <c r="R444" s="13" t="str">
        <f>_xlfn.IFNA(VLOOKUP(Tabla3[[#This Row],[DISPOSITIVO]],DISPOSITIVO[],2,0),"")</f>
        <v/>
      </c>
      <c r="S444" s="13" t="str">
        <f>_xlfn.IFNA(VLOOKUP(Tabla3[[#This Row],[PROTECCION SECUNDARIA]],PROTECCION_SECUNDARIA[],2,0),"")</f>
        <v/>
      </c>
      <c r="T444" s="13" t="str">
        <f>_xlfn.IFNA(VLOOKUP(Tabla3[[#This Row],[Que]],QUE[#All],2,0),"")</f>
        <v/>
      </c>
      <c r="U444" s="13" t="str">
        <f>_xlfn.IFNA(VLOOKUP(Tabla3[[#This Row],[Señal]],SEÑAL[#All],2,0),"")</f>
        <v/>
      </c>
      <c r="V444" s="13" t="str">
        <f>_xlfn.IFNA(VLOOKUP(Tabla3[[#This Row],[NUMERO]],SEÑAL[#All],2,0),"")</f>
        <v/>
      </c>
    </row>
    <row r="445" spans="1:22" x14ac:dyDescent="0.25">
      <c r="A445" s="26" t="s">
        <v>1233</v>
      </c>
      <c r="B445" s="2" t="s">
        <v>8</v>
      </c>
      <c r="C445" s="2" t="s">
        <v>89</v>
      </c>
      <c r="D445" s="2" t="s">
        <v>109</v>
      </c>
      <c r="E445" s="2" t="s">
        <v>1381</v>
      </c>
      <c r="J445"/>
      <c r="K445"/>
      <c r="L44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5" s="13" t="str">
        <f>VLOOKUP(Tabla3[[#This Row],[Tipo]],TIPO[#All],2,0)</f>
        <v>ET</v>
      </c>
      <c r="O445" s="13" t="str">
        <f>VLOOKUP(Tabla3[[#This Row],[Lugar]],LUGAR[#All],2,0)</f>
        <v>VMN</v>
      </c>
      <c r="P445" s="13" t="str">
        <f>Tabla3[[#This Row],[SIGLAS]]</f>
        <v>TR3</v>
      </c>
      <c r="Q445" s="13" t="str">
        <f>_xlfn.IFNA(VLOOKUP(Tabla3[[#This Row],[Nivel de tension]],NIVEL[#All],2,0),"")</f>
        <v/>
      </c>
      <c r="R445" s="13" t="str">
        <f>_xlfn.IFNA(VLOOKUP(Tabla3[[#This Row],[DISPOSITIVO]],DISPOSITIVO[],2,0),"")</f>
        <v/>
      </c>
      <c r="S445" s="13" t="str">
        <f>_xlfn.IFNA(VLOOKUP(Tabla3[[#This Row],[PROTECCION SECUNDARIA]],PROTECCION_SECUNDARIA[],2,0),"")</f>
        <v/>
      </c>
      <c r="T445" s="13" t="str">
        <f>_xlfn.IFNA(VLOOKUP(Tabla3[[#This Row],[Que]],QUE[#All],2,0),"")</f>
        <v/>
      </c>
      <c r="U445" s="13" t="str">
        <f>_xlfn.IFNA(VLOOKUP(Tabla3[[#This Row],[Señal]],SEÑAL[#All],2,0),"")</f>
        <v/>
      </c>
      <c r="V445" s="13" t="str">
        <f>_xlfn.IFNA(VLOOKUP(Tabla3[[#This Row],[NUMERO]],SEÑAL[#All],2,0),"")</f>
        <v/>
      </c>
    </row>
    <row r="446" spans="1:22" x14ac:dyDescent="0.25">
      <c r="A446" s="26" t="s">
        <v>1234</v>
      </c>
      <c r="B446" s="2" t="s">
        <v>8</v>
      </c>
      <c r="C446" s="2" t="s">
        <v>89</v>
      </c>
      <c r="D446" s="2" t="s">
        <v>109</v>
      </c>
      <c r="E446" s="2" t="s">
        <v>1381</v>
      </c>
      <c r="J446"/>
      <c r="K446"/>
      <c r="L44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6" s="13" t="str">
        <f>VLOOKUP(Tabla3[[#This Row],[Tipo]],TIPO[#All],2,0)</f>
        <v>ET</v>
      </c>
      <c r="O446" s="13" t="str">
        <f>VLOOKUP(Tabla3[[#This Row],[Lugar]],LUGAR[#All],2,0)</f>
        <v>VMN</v>
      </c>
      <c r="P446" s="13" t="str">
        <f>Tabla3[[#This Row],[SIGLAS]]</f>
        <v>TR3</v>
      </c>
      <c r="Q446" s="13" t="str">
        <f>_xlfn.IFNA(VLOOKUP(Tabla3[[#This Row],[Nivel de tension]],NIVEL[#All],2,0),"")</f>
        <v/>
      </c>
      <c r="R446" s="13" t="str">
        <f>_xlfn.IFNA(VLOOKUP(Tabla3[[#This Row],[DISPOSITIVO]],DISPOSITIVO[],2,0),"")</f>
        <v/>
      </c>
      <c r="S446" s="13" t="str">
        <f>_xlfn.IFNA(VLOOKUP(Tabla3[[#This Row],[PROTECCION SECUNDARIA]],PROTECCION_SECUNDARIA[],2,0),"")</f>
        <v/>
      </c>
      <c r="T446" s="13" t="str">
        <f>_xlfn.IFNA(VLOOKUP(Tabla3[[#This Row],[Que]],QUE[#All],2,0),"")</f>
        <v/>
      </c>
      <c r="U446" s="13" t="str">
        <f>_xlfn.IFNA(VLOOKUP(Tabla3[[#This Row],[Señal]],SEÑAL[#All],2,0),"")</f>
        <v/>
      </c>
      <c r="V446" s="13" t="str">
        <f>_xlfn.IFNA(VLOOKUP(Tabla3[[#This Row],[NUMERO]],SEÑAL[#All],2,0),"")</f>
        <v/>
      </c>
    </row>
    <row r="447" spans="1:22" x14ac:dyDescent="0.25">
      <c r="A447" s="26" t="s">
        <v>1235</v>
      </c>
      <c r="B447" s="2" t="s">
        <v>8</v>
      </c>
      <c r="C447" s="2" t="s">
        <v>89</v>
      </c>
      <c r="D447" s="2" t="s">
        <v>109</v>
      </c>
      <c r="E447" s="2" t="s">
        <v>1381</v>
      </c>
      <c r="J447"/>
      <c r="K447"/>
      <c r="L44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7" s="13" t="str">
        <f>VLOOKUP(Tabla3[[#This Row],[Tipo]],TIPO[#All],2,0)</f>
        <v>ET</v>
      </c>
      <c r="O447" s="13" t="str">
        <f>VLOOKUP(Tabla3[[#This Row],[Lugar]],LUGAR[#All],2,0)</f>
        <v>VMN</v>
      </c>
      <c r="P447" s="13" t="str">
        <f>Tabla3[[#This Row],[SIGLAS]]</f>
        <v>TR3</v>
      </c>
      <c r="Q447" s="13" t="str">
        <f>_xlfn.IFNA(VLOOKUP(Tabla3[[#This Row],[Nivel de tension]],NIVEL[#All],2,0),"")</f>
        <v/>
      </c>
      <c r="R447" s="13" t="str">
        <f>_xlfn.IFNA(VLOOKUP(Tabla3[[#This Row],[DISPOSITIVO]],DISPOSITIVO[],2,0),"")</f>
        <v/>
      </c>
      <c r="S447" s="13" t="str">
        <f>_xlfn.IFNA(VLOOKUP(Tabla3[[#This Row],[PROTECCION SECUNDARIA]],PROTECCION_SECUNDARIA[],2,0),"")</f>
        <v/>
      </c>
      <c r="T447" s="13" t="str">
        <f>_xlfn.IFNA(VLOOKUP(Tabla3[[#This Row],[Que]],QUE[#All],2,0),"")</f>
        <v/>
      </c>
      <c r="U447" s="13" t="str">
        <f>_xlfn.IFNA(VLOOKUP(Tabla3[[#This Row],[Señal]],SEÑAL[#All],2,0),"")</f>
        <v/>
      </c>
      <c r="V447" s="13" t="str">
        <f>_xlfn.IFNA(VLOOKUP(Tabla3[[#This Row],[NUMERO]],SEÑAL[#All],2,0),"")</f>
        <v/>
      </c>
    </row>
    <row r="448" spans="1:22" x14ac:dyDescent="0.25">
      <c r="A448" s="26" t="s">
        <v>1236</v>
      </c>
      <c r="B448" s="2" t="s">
        <v>8</v>
      </c>
      <c r="C448" s="2" t="s">
        <v>89</v>
      </c>
      <c r="D448" s="2" t="s">
        <v>109</v>
      </c>
      <c r="E448" s="2" t="s">
        <v>1381</v>
      </c>
      <c r="J448"/>
      <c r="K448"/>
      <c r="L44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8" s="13" t="str">
        <f>VLOOKUP(Tabla3[[#This Row],[Tipo]],TIPO[#All],2,0)</f>
        <v>ET</v>
      </c>
      <c r="O448" s="13" t="str">
        <f>VLOOKUP(Tabla3[[#This Row],[Lugar]],LUGAR[#All],2,0)</f>
        <v>VMN</v>
      </c>
      <c r="P448" s="13" t="str">
        <f>Tabla3[[#This Row],[SIGLAS]]</f>
        <v>TR3</v>
      </c>
      <c r="Q448" s="13" t="str">
        <f>_xlfn.IFNA(VLOOKUP(Tabla3[[#This Row],[Nivel de tension]],NIVEL[#All],2,0),"")</f>
        <v/>
      </c>
      <c r="R448" s="13" t="str">
        <f>_xlfn.IFNA(VLOOKUP(Tabla3[[#This Row],[DISPOSITIVO]],DISPOSITIVO[],2,0),"")</f>
        <v/>
      </c>
      <c r="S448" s="13" t="str">
        <f>_xlfn.IFNA(VLOOKUP(Tabla3[[#This Row],[PROTECCION SECUNDARIA]],PROTECCION_SECUNDARIA[],2,0),"")</f>
        <v/>
      </c>
      <c r="T448" s="13" t="str">
        <f>_xlfn.IFNA(VLOOKUP(Tabla3[[#This Row],[Que]],QUE[#All],2,0),"")</f>
        <v/>
      </c>
      <c r="U448" s="13" t="str">
        <f>_xlfn.IFNA(VLOOKUP(Tabla3[[#This Row],[Señal]],SEÑAL[#All],2,0),"")</f>
        <v/>
      </c>
      <c r="V448" s="13" t="str">
        <f>_xlfn.IFNA(VLOOKUP(Tabla3[[#This Row],[NUMERO]],SEÑAL[#All],2,0),"")</f>
        <v/>
      </c>
    </row>
    <row r="449" spans="1:22" x14ac:dyDescent="0.25">
      <c r="A449" s="26" t="s">
        <v>1237</v>
      </c>
      <c r="B449" s="2" t="s">
        <v>8</v>
      </c>
      <c r="C449" s="2" t="s">
        <v>89</v>
      </c>
      <c r="D449" s="2" t="s">
        <v>109</v>
      </c>
      <c r="E449" s="2" t="s">
        <v>1381</v>
      </c>
      <c r="J449"/>
      <c r="K449"/>
      <c r="L44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49" s="13" t="str">
        <f>VLOOKUP(Tabla3[[#This Row],[Tipo]],TIPO[#All],2,0)</f>
        <v>ET</v>
      </c>
      <c r="O449" s="13" t="str">
        <f>VLOOKUP(Tabla3[[#This Row],[Lugar]],LUGAR[#All],2,0)</f>
        <v>VMN</v>
      </c>
      <c r="P449" s="13" t="str">
        <f>Tabla3[[#This Row],[SIGLAS]]</f>
        <v>TR3</v>
      </c>
      <c r="Q449" s="13" t="str">
        <f>_xlfn.IFNA(VLOOKUP(Tabla3[[#This Row],[Nivel de tension]],NIVEL[#All],2,0),"")</f>
        <v/>
      </c>
      <c r="R449" s="13" t="str">
        <f>_xlfn.IFNA(VLOOKUP(Tabla3[[#This Row],[DISPOSITIVO]],DISPOSITIVO[],2,0),"")</f>
        <v/>
      </c>
      <c r="S449" s="13" t="str">
        <f>_xlfn.IFNA(VLOOKUP(Tabla3[[#This Row],[PROTECCION SECUNDARIA]],PROTECCION_SECUNDARIA[],2,0),"")</f>
        <v/>
      </c>
      <c r="T449" s="13" t="str">
        <f>_xlfn.IFNA(VLOOKUP(Tabla3[[#This Row],[Que]],QUE[#All],2,0),"")</f>
        <v/>
      </c>
      <c r="U449" s="13" t="str">
        <f>_xlfn.IFNA(VLOOKUP(Tabla3[[#This Row],[Señal]],SEÑAL[#All],2,0),"")</f>
        <v/>
      </c>
      <c r="V449" s="13" t="str">
        <f>_xlfn.IFNA(VLOOKUP(Tabla3[[#This Row],[NUMERO]],SEÑAL[#All],2,0),"")</f>
        <v/>
      </c>
    </row>
    <row r="450" spans="1:22" x14ac:dyDescent="0.25">
      <c r="A450" s="26" t="s">
        <v>1238</v>
      </c>
      <c r="B450" s="2" t="s">
        <v>8</v>
      </c>
      <c r="C450" s="2" t="s">
        <v>89</v>
      </c>
      <c r="D450" s="2" t="s">
        <v>109</v>
      </c>
      <c r="E450" s="2" t="s">
        <v>1381</v>
      </c>
      <c r="J450"/>
      <c r="K450"/>
      <c r="L45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0" s="13" t="str">
        <f>VLOOKUP(Tabla3[[#This Row],[Tipo]],TIPO[#All],2,0)</f>
        <v>ET</v>
      </c>
      <c r="O450" s="13" t="str">
        <f>VLOOKUP(Tabla3[[#This Row],[Lugar]],LUGAR[#All],2,0)</f>
        <v>VMN</v>
      </c>
      <c r="P450" s="13" t="str">
        <f>Tabla3[[#This Row],[SIGLAS]]</f>
        <v>TR3</v>
      </c>
      <c r="Q450" s="13" t="str">
        <f>_xlfn.IFNA(VLOOKUP(Tabla3[[#This Row],[Nivel de tension]],NIVEL[#All],2,0),"")</f>
        <v/>
      </c>
      <c r="R450" s="13" t="str">
        <f>_xlfn.IFNA(VLOOKUP(Tabla3[[#This Row],[DISPOSITIVO]],DISPOSITIVO[],2,0),"")</f>
        <v/>
      </c>
      <c r="S450" s="13" t="str">
        <f>_xlfn.IFNA(VLOOKUP(Tabla3[[#This Row],[PROTECCION SECUNDARIA]],PROTECCION_SECUNDARIA[],2,0),"")</f>
        <v/>
      </c>
      <c r="T450" s="13" t="str">
        <f>_xlfn.IFNA(VLOOKUP(Tabla3[[#This Row],[Que]],QUE[#All],2,0),"")</f>
        <v/>
      </c>
      <c r="U450" s="13" t="str">
        <f>_xlfn.IFNA(VLOOKUP(Tabla3[[#This Row],[Señal]],SEÑAL[#All],2,0),"")</f>
        <v/>
      </c>
      <c r="V450" s="13" t="str">
        <f>_xlfn.IFNA(VLOOKUP(Tabla3[[#This Row],[NUMERO]],SEÑAL[#All],2,0),"")</f>
        <v/>
      </c>
    </row>
    <row r="451" spans="1:22" x14ac:dyDescent="0.25">
      <c r="A451" s="26" t="s">
        <v>1239</v>
      </c>
      <c r="B451" s="2" t="s">
        <v>8</v>
      </c>
      <c r="C451" s="2" t="s">
        <v>89</v>
      </c>
      <c r="D451" s="2" t="s">
        <v>109</v>
      </c>
      <c r="E451" s="2" t="s">
        <v>1381</v>
      </c>
      <c r="J451"/>
      <c r="K451"/>
      <c r="L45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1" s="13" t="str">
        <f>VLOOKUP(Tabla3[[#This Row],[Tipo]],TIPO[#All],2,0)</f>
        <v>ET</v>
      </c>
      <c r="O451" s="13" t="str">
        <f>VLOOKUP(Tabla3[[#This Row],[Lugar]],LUGAR[#All],2,0)</f>
        <v>VMN</v>
      </c>
      <c r="P451" s="13" t="str">
        <f>Tabla3[[#This Row],[SIGLAS]]</f>
        <v>TR3</v>
      </c>
      <c r="Q451" s="13" t="str">
        <f>_xlfn.IFNA(VLOOKUP(Tabla3[[#This Row],[Nivel de tension]],NIVEL[#All],2,0),"")</f>
        <v/>
      </c>
      <c r="R451" s="13" t="str">
        <f>_xlfn.IFNA(VLOOKUP(Tabla3[[#This Row],[DISPOSITIVO]],DISPOSITIVO[],2,0),"")</f>
        <v/>
      </c>
      <c r="S451" s="13" t="str">
        <f>_xlfn.IFNA(VLOOKUP(Tabla3[[#This Row],[PROTECCION SECUNDARIA]],PROTECCION_SECUNDARIA[],2,0),"")</f>
        <v/>
      </c>
      <c r="T451" s="13" t="str">
        <f>_xlfn.IFNA(VLOOKUP(Tabla3[[#This Row],[Que]],QUE[#All],2,0),"")</f>
        <v/>
      </c>
      <c r="U451" s="13" t="str">
        <f>_xlfn.IFNA(VLOOKUP(Tabla3[[#This Row],[Señal]],SEÑAL[#All],2,0),"")</f>
        <v/>
      </c>
      <c r="V451" s="13" t="str">
        <f>_xlfn.IFNA(VLOOKUP(Tabla3[[#This Row],[NUMERO]],SEÑAL[#All],2,0),"")</f>
        <v/>
      </c>
    </row>
    <row r="452" spans="1:22" x14ac:dyDescent="0.25">
      <c r="A452" s="26" t="s">
        <v>1240</v>
      </c>
      <c r="B452" s="2" t="s">
        <v>8</v>
      </c>
      <c r="C452" s="2" t="s">
        <v>89</v>
      </c>
      <c r="D452" s="2" t="s">
        <v>109</v>
      </c>
      <c r="E452" s="2" t="s">
        <v>1381</v>
      </c>
      <c r="J452"/>
      <c r="K452"/>
      <c r="L45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2" s="13" t="str">
        <f>VLOOKUP(Tabla3[[#This Row],[Tipo]],TIPO[#All],2,0)</f>
        <v>ET</v>
      </c>
      <c r="O452" s="13" t="str">
        <f>VLOOKUP(Tabla3[[#This Row],[Lugar]],LUGAR[#All],2,0)</f>
        <v>VMN</v>
      </c>
      <c r="P452" s="13" t="str">
        <f>Tabla3[[#This Row],[SIGLAS]]</f>
        <v>TR3</v>
      </c>
      <c r="Q452" s="13" t="str">
        <f>_xlfn.IFNA(VLOOKUP(Tabla3[[#This Row],[Nivel de tension]],NIVEL[#All],2,0),"")</f>
        <v/>
      </c>
      <c r="R452" s="13" t="str">
        <f>_xlfn.IFNA(VLOOKUP(Tabla3[[#This Row],[DISPOSITIVO]],DISPOSITIVO[],2,0),"")</f>
        <v/>
      </c>
      <c r="S452" s="13" t="str">
        <f>_xlfn.IFNA(VLOOKUP(Tabla3[[#This Row],[PROTECCION SECUNDARIA]],PROTECCION_SECUNDARIA[],2,0),"")</f>
        <v/>
      </c>
      <c r="T452" s="13" t="str">
        <f>_xlfn.IFNA(VLOOKUP(Tabla3[[#This Row],[Que]],QUE[#All],2,0),"")</f>
        <v/>
      </c>
      <c r="U452" s="13" t="str">
        <f>_xlfn.IFNA(VLOOKUP(Tabla3[[#This Row],[Señal]],SEÑAL[#All],2,0),"")</f>
        <v/>
      </c>
      <c r="V452" s="13" t="str">
        <f>_xlfn.IFNA(VLOOKUP(Tabla3[[#This Row],[NUMERO]],SEÑAL[#All],2,0),"")</f>
        <v/>
      </c>
    </row>
    <row r="453" spans="1:22" x14ac:dyDescent="0.25">
      <c r="A453" s="26" t="s">
        <v>1241</v>
      </c>
      <c r="B453" s="2" t="s">
        <v>8</v>
      </c>
      <c r="C453" s="2" t="s">
        <v>89</v>
      </c>
      <c r="D453" s="2" t="s">
        <v>109</v>
      </c>
      <c r="E453" s="2" t="s">
        <v>1381</v>
      </c>
      <c r="J453"/>
      <c r="K453"/>
      <c r="L45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3" s="13" t="str">
        <f>VLOOKUP(Tabla3[[#This Row],[Tipo]],TIPO[#All],2,0)</f>
        <v>ET</v>
      </c>
      <c r="O453" s="13" t="str">
        <f>VLOOKUP(Tabla3[[#This Row],[Lugar]],LUGAR[#All],2,0)</f>
        <v>VMN</v>
      </c>
      <c r="P453" s="13" t="str">
        <f>Tabla3[[#This Row],[SIGLAS]]</f>
        <v>TR3</v>
      </c>
      <c r="Q453" s="13" t="str">
        <f>_xlfn.IFNA(VLOOKUP(Tabla3[[#This Row],[Nivel de tension]],NIVEL[#All],2,0),"")</f>
        <v/>
      </c>
      <c r="R453" s="13" t="str">
        <f>_xlfn.IFNA(VLOOKUP(Tabla3[[#This Row],[DISPOSITIVO]],DISPOSITIVO[],2,0),"")</f>
        <v/>
      </c>
      <c r="S453" s="13" t="str">
        <f>_xlfn.IFNA(VLOOKUP(Tabla3[[#This Row],[PROTECCION SECUNDARIA]],PROTECCION_SECUNDARIA[],2,0),"")</f>
        <v/>
      </c>
      <c r="T453" s="13" t="str">
        <f>_xlfn.IFNA(VLOOKUP(Tabla3[[#This Row],[Que]],QUE[#All],2,0),"")</f>
        <v/>
      </c>
      <c r="U453" s="13" t="str">
        <f>_xlfn.IFNA(VLOOKUP(Tabla3[[#This Row],[Señal]],SEÑAL[#All],2,0),"")</f>
        <v/>
      </c>
      <c r="V453" s="13" t="str">
        <f>_xlfn.IFNA(VLOOKUP(Tabla3[[#This Row],[NUMERO]],SEÑAL[#All],2,0),"")</f>
        <v/>
      </c>
    </row>
    <row r="454" spans="1:22" x14ac:dyDescent="0.25">
      <c r="A454" s="26" t="s">
        <v>1242</v>
      </c>
      <c r="B454" s="2" t="s">
        <v>8</v>
      </c>
      <c r="C454" s="2" t="s">
        <v>89</v>
      </c>
      <c r="D454" s="2" t="s">
        <v>109</v>
      </c>
      <c r="E454" s="2" t="s">
        <v>1381</v>
      </c>
      <c r="J454"/>
      <c r="K454"/>
      <c r="L45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4" s="13" t="str">
        <f>VLOOKUP(Tabla3[[#This Row],[Tipo]],TIPO[#All],2,0)</f>
        <v>ET</v>
      </c>
      <c r="O454" s="13" t="str">
        <f>VLOOKUP(Tabla3[[#This Row],[Lugar]],LUGAR[#All],2,0)</f>
        <v>VMN</v>
      </c>
      <c r="P454" s="13" t="str">
        <f>Tabla3[[#This Row],[SIGLAS]]</f>
        <v>TR3</v>
      </c>
      <c r="Q454" s="13" t="str">
        <f>_xlfn.IFNA(VLOOKUP(Tabla3[[#This Row],[Nivel de tension]],NIVEL[#All],2,0),"")</f>
        <v/>
      </c>
      <c r="R454" s="13" t="str">
        <f>_xlfn.IFNA(VLOOKUP(Tabla3[[#This Row],[DISPOSITIVO]],DISPOSITIVO[],2,0),"")</f>
        <v/>
      </c>
      <c r="S454" s="13" t="str">
        <f>_xlfn.IFNA(VLOOKUP(Tabla3[[#This Row],[PROTECCION SECUNDARIA]],PROTECCION_SECUNDARIA[],2,0),"")</f>
        <v/>
      </c>
      <c r="T454" s="13" t="str">
        <f>_xlfn.IFNA(VLOOKUP(Tabla3[[#This Row],[Que]],QUE[#All],2,0),"")</f>
        <v/>
      </c>
      <c r="U454" s="13" t="str">
        <f>_xlfn.IFNA(VLOOKUP(Tabla3[[#This Row],[Señal]],SEÑAL[#All],2,0),"")</f>
        <v/>
      </c>
      <c r="V454" s="13" t="str">
        <f>_xlfn.IFNA(VLOOKUP(Tabla3[[#This Row],[NUMERO]],SEÑAL[#All],2,0),"")</f>
        <v/>
      </c>
    </row>
    <row r="455" spans="1:22" x14ac:dyDescent="0.25">
      <c r="A455" s="26" t="s">
        <v>1243</v>
      </c>
      <c r="B455" s="2" t="s">
        <v>8</v>
      </c>
      <c r="C455" s="2" t="s">
        <v>89</v>
      </c>
      <c r="D455" s="2" t="s">
        <v>109</v>
      </c>
      <c r="E455" s="2" t="s">
        <v>1381</v>
      </c>
      <c r="J455"/>
      <c r="K455"/>
      <c r="L45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5" s="13" t="str">
        <f>VLOOKUP(Tabla3[[#This Row],[Tipo]],TIPO[#All],2,0)</f>
        <v>ET</v>
      </c>
      <c r="O455" s="13" t="str">
        <f>VLOOKUP(Tabla3[[#This Row],[Lugar]],LUGAR[#All],2,0)</f>
        <v>VMN</v>
      </c>
      <c r="P455" s="13" t="str">
        <f>Tabla3[[#This Row],[SIGLAS]]</f>
        <v>TR3</v>
      </c>
      <c r="Q455" s="13" t="str">
        <f>_xlfn.IFNA(VLOOKUP(Tabla3[[#This Row],[Nivel de tension]],NIVEL[#All],2,0),"")</f>
        <v/>
      </c>
      <c r="R455" s="13" t="str">
        <f>_xlfn.IFNA(VLOOKUP(Tabla3[[#This Row],[DISPOSITIVO]],DISPOSITIVO[],2,0),"")</f>
        <v/>
      </c>
      <c r="S455" s="13" t="str">
        <f>_xlfn.IFNA(VLOOKUP(Tabla3[[#This Row],[PROTECCION SECUNDARIA]],PROTECCION_SECUNDARIA[],2,0),"")</f>
        <v/>
      </c>
      <c r="T455" s="13" t="str">
        <f>_xlfn.IFNA(VLOOKUP(Tabla3[[#This Row],[Que]],QUE[#All],2,0),"")</f>
        <v/>
      </c>
      <c r="U455" s="13" t="str">
        <f>_xlfn.IFNA(VLOOKUP(Tabla3[[#This Row],[Señal]],SEÑAL[#All],2,0),"")</f>
        <v/>
      </c>
      <c r="V455" s="13" t="str">
        <f>_xlfn.IFNA(VLOOKUP(Tabla3[[#This Row],[NUMERO]],SEÑAL[#All],2,0),"")</f>
        <v/>
      </c>
    </row>
    <row r="456" spans="1:22" x14ac:dyDescent="0.25">
      <c r="A456" s="26" t="s">
        <v>1244</v>
      </c>
      <c r="B456" s="2" t="s">
        <v>8</v>
      </c>
      <c r="C456" s="2" t="s">
        <v>89</v>
      </c>
      <c r="D456" s="2" t="s">
        <v>109</v>
      </c>
      <c r="E456" s="2" t="s">
        <v>1381</v>
      </c>
      <c r="J456"/>
      <c r="K456"/>
      <c r="L45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6" s="13" t="str">
        <f>VLOOKUP(Tabla3[[#This Row],[Tipo]],TIPO[#All],2,0)</f>
        <v>ET</v>
      </c>
      <c r="O456" s="13" t="str">
        <f>VLOOKUP(Tabla3[[#This Row],[Lugar]],LUGAR[#All],2,0)</f>
        <v>VMN</v>
      </c>
      <c r="P456" s="13" t="str">
        <f>Tabla3[[#This Row],[SIGLAS]]</f>
        <v>TR3</v>
      </c>
      <c r="Q456" s="13" t="str">
        <f>_xlfn.IFNA(VLOOKUP(Tabla3[[#This Row],[Nivel de tension]],NIVEL[#All],2,0),"")</f>
        <v/>
      </c>
      <c r="R456" s="13" t="str">
        <f>_xlfn.IFNA(VLOOKUP(Tabla3[[#This Row],[DISPOSITIVO]],DISPOSITIVO[],2,0),"")</f>
        <v/>
      </c>
      <c r="S456" s="13" t="str">
        <f>_xlfn.IFNA(VLOOKUP(Tabla3[[#This Row],[PROTECCION SECUNDARIA]],PROTECCION_SECUNDARIA[],2,0),"")</f>
        <v/>
      </c>
      <c r="T456" s="13" t="str">
        <f>_xlfn.IFNA(VLOOKUP(Tabla3[[#This Row],[Que]],QUE[#All],2,0),"")</f>
        <v/>
      </c>
      <c r="U456" s="13" t="str">
        <f>_xlfn.IFNA(VLOOKUP(Tabla3[[#This Row],[Señal]],SEÑAL[#All],2,0),"")</f>
        <v/>
      </c>
      <c r="V456" s="13" t="str">
        <f>_xlfn.IFNA(VLOOKUP(Tabla3[[#This Row],[NUMERO]],SEÑAL[#All],2,0),"")</f>
        <v/>
      </c>
    </row>
    <row r="457" spans="1:22" x14ac:dyDescent="0.25">
      <c r="A457" s="26" t="s">
        <v>1245</v>
      </c>
      <c r="B457" s="2" t="s">
        <v>8</v>
      </c>
      <c r="C457" s="2" t="s">
        <v>89</v>
      </c>
      <c r="D457" s="2" t="s">
        <v>109</v>
      </c>
      <c r="E457" s="2" t="s">
        <v>1381</v>
      </c>
      <c r="J457"/>
      <c r="K457"/>
      <c r="L45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7" s="13" t="str">
        <f>VLOOKUP(Tabla3[[#This Row],[Tipo]],TIPO[#All],2,0)</f>
        <v>ET</v>
      </c>
      <c r="O457" s="13" t="str">
        <f>VLOOKUP(Tabla3[[#This Row],[Lugar]],LUGAR[#All],2,0)</f>
        <v>VMN</v>
      </c>
      <c r="P457" s="13" t="str">
        <f>Tabla3[[#This Row],[SIGLAS]]</f>
        <v>TR3</v>
      </c>
      <c r="Q457" s="13" t="str">
        <f>_xlfn.IFNA(VLOOKUP(Tabla3[[#This Row],[Nivel de tension]],NIVEL[#All],2,0),"")</f>
        <v/>
      </c>
      <c r="R457" s="13" t="str">
        <f>_xlfn.IFNA(VLOOKUP(Tabla3[[#This Row],[DISPOSITIVO]],DISPOSITIVO[],2,0),"")</f>
        <v/>
      </c>
      <c r="S457" s="13" t="str">
        <f>_xlfn.IFNA(VLOOKUP(Tabla3[[#This Row],[PROTECCION SECUNDARIA]],PROTECCION_SECUNDARIA[],2,0),"")</f>
        <v/>
      </c>
      <c r="T457" s="13" t="str">
        <f>_xlfn.IFNA(VLOOKUP(Tabla3[[#This Row],[Que]],QUE[#All],2,0),"")</f>
        <v/>
      </c>
      <c r="U457" s="13" t="str">
        <f>_xlfn.IFNA(VLOOKUP(Tabla3[[#This Row],[Señal]],SEÑAL[#All],2,0),"")</f>
        <v/>
      </c>
      <c r="V457" s="13" t="str">
        <f>_xlfn.IFNA(VLOOKUP(Tabla3[[#This Row],[NUMERO]],SEÑAL[#All],2,0),"")</f>
        <v/>
      </c>
    </row>
    <row r="458" spans="1:22" x14ac:dyDescent="0.25">
      <c r="A458" s="26" t="s">
        <v>1246</v>
      </c>
      <c r="B458" s="2" t="s">
        <v>8</v>
      </c>
      <c r="C458" s="2" t="s">
        <v>89</v>
      </c>
      <c r="D458" s="2" t="s">
        <v>109</v>
      </c>
      <c r="E458" s="2" t="s">
        <v>1381</v>
      </c>
      <c r="J458"/>
      <c r="K458"/>
      <c r="L45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8" s="13" t="str">
        <f>VLOOKUP(Tabla3[[#This Row],[Tipo]],TIPO[#All],2,0)</f>
        <v>ET</v>
      </c>
      <c r="O458" s="13" t="str">
        <f>VLOOKUP(Tabla3[[#This Row],[Lugar]],LUGAR[#All],2,0)</f>
        <v>VMN</v>
      </c>
      <c r="P458" s="13" t="str">
        <f>Tabla3[[#This Row],[SIGLAS]]</f>
        <v>TR3</v>
      </c>
      <c r="Q458" s="13" t="str">
        <f>_xlfn.IFNA(VLOOKUP(Tabla3[[#This Row],[Nivel de tension]],NIVEL[#All],2,0),"")</f>
        <v/>
      </c>
      <c r="R458" s="13" t="str">
        <f>_xlfn.IFNA(VLOOKUP(Tabla3[[#This Row],[DISPOSITIVO]],DISPOSITIVO[],2,0),"")</f>
        <v/>
      </c>
      <c r="S458" s="13" t="str">
        <f>_xlfn.IFNA(VLOOKUP(Tabla3[[#This Row],[PROTECCION SECUNDARIA]],PROTECCION_SECUNDARIA[],2,0),"")</f>
        <v/>
      </c>
      <c r="T458" s="13" t="str">
        <f>_xlfn.IFNA(VLOOKUP(Tabla3[[#This Row],[Que]],QUE[#All],2,0),"")</f>
        <v/>
      </c>
      <c r="U458" s="13" t="str">
        <f>_xlfn.IFNA(VLOOKUP(Tabla3[[#This Row],[Señal]],SEÑAL[#All],2,0),"")</f>
        <v/>
      </c>
      <c r="V458" s="13" t="str">
        <f>_xlfn.IFNA(VLOOKUP(Tabla3[[#This Row],[NUMERO]],SEÑAL[#All],2,0),"")</f>
        <v/>
      </c>
    </row>
    <row r="459" spans="1:22" x14ac:dyDescent="0.25">
      <c r="A459" s="26" t="s">
        <v>1247</v>
      </c>
      <c r="B459" s="2" t="s">
        <v>8</v>
      </c>
      <c r="C459" s="2" t="s">
        <v>89</v>
      </c>
      <c r="D459" s="2" t="s">
        <v>109</v>
      </c>
      <c r="E459" s="2" t="s">
        <v>1381</v>
      </c>
      <c r="J459"/>
      <c r="K459"/>
      <c r="L45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59" s="13" t="str">
        <f>VLOOKUP(Tabla3[[#This Row],[Tipo]],TIPO[#All],2,0)</f>
        <v>ET</v>
      </c>
      <c r="O459" s="13" t="str">
        <f>VLOOKUP(Tabla3[[#This Row],[Lugar]],LUGAR[#All],2,0)</f>
        <v>VMN</v>
      </c>
      <c r="P459" s="13" t="str">
        <f>Tabla3[[#This Row],[SIGLAS]]</f>
        <v>TR3</v>
      </c>
      <c r="Q459" s="13" t="str">
        <f>_xlfn.IFNA(VLOOKUP(Tabla3[[#This Row],[Nivel de tension]],NIVEL[#All],2,0),"")</f>
        <v/>
      </c>
      <c r="R459" s="13" t="str">
        <f>_xlfn.IFNA(VLOOKUP(Tabla3[[#This Row],[DISPOSITIVO]],DISPOSITIVO[],2,0),"")</f>
        <v/>
      </c>
      <c r="S459" s="13" t="str">
        <f>_xlfn.IFNA(VLOOKUP(Tabla3[[#This Row],[PROTECCION SECUNDARIA]],PROTECCION_SECUNDARIA[],2,0),"")</f>
        <v/>
      </c>
      <c r="T459" s="13" t="str">
        <f>_xlfn.IFNA(VLOOKUP(Tabla3[[#This Row],[Que]],QUE[#All],2,0),"")</f>
        <v/>
      </c>
      <c r="U459" s="13" t="str">
        <f>_xlfn.IFNA(VLOOKUP(Tabla3[[#This Row],[Señal]],SEÑAL[#All],2,0),"")</f>
        <v/>
      </c>
      <c r="V459" s="13" t="str">
        <f>_xlfn.IFNA(VLOOKUP(Tabla3[[#This Row],[NUMERO]],SEÑAL[#All],2,0),"")</f>
        <v/>
      </c>
    </row>
    <row r="460" spans="1:22" x14ac:dyDescent="0.25">
      <c r="A460" s="26" t="s">
        <v>1248</v>
      </c>
      <c r="B460" s="2" t="s">
        <v>8</v>
      </c>
      <c r="C460" s="2" t="s">
        <v>89</v>
      </c>
      <c r="D460" s="2" t="s">
        <v>109</v>
      </c>
      <c r="E460" s="2" t="s">
        <v>1381</v>
      </c>
      <c r="J460"/>
      <c r="K460"/>
      <c r="L46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0" s="13" t="str">
        <f>VLOOKUP(Tabla3[[#This Row],[Tipo]],TIPO[#All],2,0)</f>
        <v>ET</v>
      </c>
      <c r="O460" s="13" t="str">
        <f>VLOOKUP(Tabla3[[#This Row],[Lugar]],LUGAR[#All],2,0)</f>
        <v>VMN</v>
      </c>
      <c r="P460" s="13" t="str">
        <f>Tabla3[[#This Row],[SIGLAS]]</f>
        <v>TR3</v>
      </c>
      <c r="Q460" s="13" t="str">
        <f>_xlfn.IFNA(VLOOKUP(Tabla3[[#This Row],[Nivel de tension]],NIVEL[#All],2,0),"")</f>
        <v/>
      </c>
      <c r="R460" s="13" t="str">
        <f>_xlfn.IFNA(VLOOKUP(Tabla3[[#This Row],[DISPOSITIVO]],DISPOSITIVO[],2,0),"")</f>
        <v/>
      </c>
      <c r="S460" s="13" t="str">
        <f>_xlfn.IFNA(VLOOKUP(Tabla3[[#This Row],[PROTECCION SECUNDARIA]],PROTECCION_SECUNDARIA[],2,0),"")</f>
        <v/>
      </c>
      <c r="T460" s="13" t="str">
        <f>_xlfn.IFNA(VLOOKUP(Tabla3[[#This Row],[Que]],QUE[#All],2,0),"")</f>
        <v/>
      </c>
      <c r="U460" s="13" t="str">
        <f>_xlfn.IFNA(VLOOKUP(Tabla3[[#This Row],[Señal]],SEÑAL[#All],2,0),"")</f>
        <v/>
      </c>
      <c r="V460" s="13" t="str">
        <f>_xlfn.IFNA(VLOOKUP(Tabla3[[#This Row],[NUMERO]],SEÑAL[#All],2,0),"")</f>
        <v/>
      </c>
    </row>
    <row r="461" spans="1:22" x14ac:dyDescent="0.25">
      <c r="A461" s="26" t="s">
        <v>1249</v>
      </c>
      <c r="B461" s="2" t="s">
        <v>8</v>
      </c>
      <c r="C461" s="2" t="s">
        <v>89</v>
      </c>
      <c r="D461" s="2" t="s">
        <v>109</v>
      </c>
      <c r="E461" s="2" t="s">
        <v>1381</v>
      </c>
      <c r="J461"/>
      <c r="K461"/>
      <c r="L46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1" s="13" t="str">
        <f>VLOOKUP(Tabla3[[#This Row],[Tipo]],TIPO[#All],2,0)</f>
        <v>ET</v>
      </c>
      <c r="O461" s="13" t="str">
        <f>VLOOKUP(Tabla3[[#This Row],[Lugar]],LUGAR[#All],2,0)</f>
        <v>VMN</v>
      </c>
      <c r="P461" s="13" t="str">
        <f>Tabla3[[#This Row],[SIGLAS]]</f>
        <v>TR3</v>
      </c>
      <c r="Q461" s="13" t="str">
        <f>_xlfn.IFNA(VLOOKUP(Tabla3[[#This Row],[Nivel de tension]],NIVEL[#All],2,0),"")</f>
        <v/>
      </c>
      <c r="R461" s="13" t="str">
        <f>_xlfn.IFNA(VLOOKUP(Tabla3[[#This Row],[DISPOSITIVO]],DISPOSITIVO[],2,0),"")</f>
        <v/>
      </c>
      <c r="S461" s="13" t="str">
        <f>_xlfn.IFNA(VLOOKUP(Tabla3[[#This Row],[PROTECCION SECUNDARIA]],PROTECCION_SECUNDARIA[],2,0),"")</f>
        <v/>
      </c>
      <c r="T461" s="13" t="str">
        <f>_xlfn.IFNA(VLOOKUP(Tabla3[[#This Row],[Que]],QUE[#All],2,0),"")</f>
        <v/>
      </c>
      <c r="U461" s="13" t="str">
        <f>_xlfn.IFNA(VLOOKUP(Tabla3[[#This Row],[Señal]],SEÑAL[#All],2,0),"")</f>
        <v/>
      </c>
      <c r="V461" s="13" t="str">
        <f>_xlfn.IFNA(VLOOKUP(Tabla3[[#This Row],[NUMERO]],SEÑAL[#All],2,0),"")</f>
        <v/>
      </c>
    </row>
    <row r="462" spans="1:22" x14ac:dyDescent="0.25">
      <c r="A462" s="26" t="s">
        <v>1250</v>
      </c>
      <c r="B462" s="2" t="s">
        <v>8</v>
      </c>
      <c r="C462" s="2" t="s">
        <v>89</v>
      </c>
      <c r="D462" s="2" t="s">
        <v>109</v>
      </c>
      <c r="E462" s="2" t="s">
        <v>1381</v>
      </c>
      <c r="J462"/>
      <c r="K462"/>
      <c r="L46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2" s="13" t="str">
        <f>VLOOKUP(Tabla3[[#This Row],[Tipo]],TIPO[#All],2,0)</f>
        <v>ET</v>
      </c>
      <c r="O462" s="13" t="str">
        <f>VLOOKUP(Tabla3[[#This Row],[Lugar]],LUGAR[#All],2,0)</f>
        <v>VMN</v>
      </c>
      <c r="P462" s="13" t="str">
        <f>Tabla3[[#This Row],[SIGLAS]]</f>
        <v>TR3</v>
      </c>
      <c r="Q462" s="13" t="str">
        <f>_xlfn.IFNA(VLOOKUP(Tabla3[[#This Row],[Nivel de tension]],NIVEL[#All],2,0),"")</f>
        <v/>
      </c>
      <c r="R462" s="13" t="str">
        <f>_xlfn.IFNA(VLOOKUP(Tabla3[[#This Row],[DISPOSITIVO]],DISPOSITIVO[],2,0),"")</f>
        <v/>
      </c>
      <c r="S462" s="13" t="str">
        <f>_xlfn.IFNA(VLOOKUP(Tabla3[[#This Row],[PROTECCION SECUNDARIA]],PROTECCION_SECUNDARIA[],2,0),"")</f>
        <v/>
      </c>
      <c r="T462" s="13" t="str">
        <f>_xlfn.IFNA(VLOOKUP(Tabla3[[#This Row],[Que]],QUE[#All],2,0),"")</f>
        <v/>
      </c>
      <c r="U462" s="13" t="str">
        <f>_xlfn.IFNA(VLOOKUP(Tabla3[[#This Row],[Señal]],SEÑAL[#All],2,0),"")</f>
        <v/>
      </c>
      <c r="V462" s="13" t="str">
        <f>_xlfn.IFNA(VLOOKUP(Tabla3[[#This Row],[NUMERO]],SEÑAL[#All],2,0),"")</f>
        <v/>
      </c>
    </row>
    <row r="463" spans="1:22" x14ac:dyDescent="0.25">
      <c r="A463" s="26" t="s">
        <v>1251</v>
      </c>
      <c r="B463" s="2" t="s">
        <v>8</v>
      </c>
      <c r="C463" s="2" t="s">
        <v>89</v>
      </c>
      <c r="D463" s="2" t="s">
        <v>109</v>
      </c>
      <c r="E463" s="2" t="s">
        <v>1381</v>
      </c>
      <c r="J463"/>
      <c r="K463"/>
      <c r="L46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3" s="13" t="str">
        <f>VLOOKUP(Tabla3[[#This Row],[Tipo]],TIPO[#All],2,0)</f>
        <v>ET</v>
      </c>
      <c r="O463" s="13" t="str">
        <f>VLOOKUP(Tabla3[[#This Row],[Lugar]],LUGAR[#All],2,0)</f>
        <v>VMN</v>
      </c>
      <c r="P463" s="13" t="str">
        <f>Tabla3[[#This Row],[SIGLAS]]</f>
        <v>TR3</v>
      </c>
      <c r="Q463" s="13" t="str">
        <f>_xlfn.IFNA(VLOOKUP(Tabla3[[#This Row],[Nivel de tension]],NIVEL[#All],2,0),"")</f>
        <v/>
      </c>
      <c r="R463" s="13" t="str">
        <f>_xlfn.IFNA(VLOOKUP(Tabla3[[#This Row],[DISPOSITIVO]],DISPOSITIVO[],2,0),"")</f>
        <v/>
      </c>
      <c r="S463" s="13" t="str">
        <f>_xlfn.IFNA(VLOOKUP(Tabla3[[#This Row],[PROTECCION SECUNDARIA]],PROTECCION_SECUNDARIA[],2,0),"")</f>
        <v/>
      </c>
      <c r="T463" s="13" t="str">
        <f>_xlfn.IFNA(VLOOKUP(Tabla3[[#This Row],[Que]],QUE[#All],2,0),"")</f>
        <v/>
      </c>
      <c r="U463" s="13" t="str">
        <f>_xlfn.IFNA(VLOOKUP(Tabla3[[#This Row],[Señal]],SEÑAL[#All],2,0),"")</f>
        <v/>
      </c>
      <c r="V463" s="13" t="str">
        <f>_xlfn.IFNA(VLOOKUP(Tabla3[[#This Row],[NUMERO]],SEÑAL[#All],2,0),"")</f>
        <v/>
      </c>
    </row>
    <row r="464" spans="1:22" x14ac:dyDescent="0.25">
      <c r="A464" s="26" t="s">
        <v>1252</v>
      </c>
      <c r="B464" s="2" t="s">
        <v>8</v>
      </c>
      <c r="C464" s="2" t="s">
        <v>89</v>
      </c>
      <c r="D464" s="2" t="s">
        <v>109</v>
      </c>
      <c r="E464" s="2" t="s">
        <v>1381</v>
      </c>
      <c r="J464"/>
      <c r="K464"/>
      <c r="L46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4" s="13" t="str">
        <f>VLOOKUP(Tabla3[[#This Row],[Tipo]],TIPO[#All],2,0)</f>
        <v>ET</v>
      </c>
      <c r="O464" s="13" t="str">
        <f>VLOOKUP(Tabla3[[#This Row],[Lugar]],LUGAR[#All],2,0)</f>
        <v>VMN</v>
      </c>
      <c r="P464" s="13" t="str">
        <f>Tabla3[[#This Row],[SIGLAS]]</f>
        <v>TR3</v>
      </c>
      <c r="Q464" s="13" t="str">
        <f>_xlfn.IFNA(VLOOKUP(Tabla3[[#This Row],[Nivel de tension]],NIVEL[#All],2,0),"")</f>
        <v/>
      </c>
      <c r="R464" s="13" t="str">
        <f>_xlfn.IFNA(VLOOKUP(Tabla3[[#This Row],[DISPOSITIVO]],DISPOSITIVO[],2,0),"")</f>
        <v/>
      </c>
      <c r="S464" s="13" t="str">
        <f>_xlfn.IFNA(VLOOKUP(Tabla3[[#This Row],[PROTECCION SECUNDARIA]],PROTECCION_SECUNDARIA[],2,0),"")</f>
        <v/>
      </c>
      <c r="T464" s="13" t="str">
        <f>_xlfn.IFNA(VLOOKUP(Tabla3[[#This Row],[Que]],QUE[#All],2,0),"")</f>
        <v/>
      </c>
      <c r="U464" s="13" t="str">
        <f>_xlfn.IFNA(VLOOKUP(Tabla3[[#This Row],[Señal]],SEÑAL[#All],2,0),"")</f>
        <v/>
      </c>
      <c r="V464" s="13" t="str">
        <f>_xlfn.IFNA(VLOOKUP(Tabla3[[#This Row],[NUMERO]],SEÑAL[#All],2,0),"")</f>
        <v/>
      </c>
    </row>
    <row r="465" spans="1:22" x14ac:dyDescent="0.25">
      <c r="A465" s="26" t="s">
        <v>1253</v>
      </c>
      <c r="B465" s="2" t="s">
        <v>8</v>
      </c>
      <c r="C465" s="2" t="s">
        <v>89</v>
      </c>
      <c r="D465" s="2" t="s">
        <v>109</v>
      </c>
      <c r="E465" s="2" t="s">
        <v>1381</v>
      </c>
      <c r="J465"/>
      <c r="K465"/>
      <c r="L46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5" s="13" t="str">
        <f>VLOOKUP(Tabla3[[#This Row],[Tipo]],TIPO[#All],2,0)</f>
        <v>ET</v>
      </c>
      <c r="O465" s="13" t="str">
        <f>VLOOKUP(Tabla3[[#This Row],[Lugar]],LUGAR[#All],2,0)</f>
        <v>VMN</v>
      </c>
      <c r="P465" s="13" t="str">
        <f>Tabla3[[#This Row],[SIGLAS]]</f>
        <v>TR3</v>
      </c>
      <c r="Q465" s="13" t="str">
        <f>_xlfn.IFNA(VLOOKUP(Tabla3[[#This Row],[Nivel de tension]],NIVEL[#All],2,0),"")</f>
        <v/>
      </c>
      <c r="R465" s="13" t="str">
        <f>_xlfn.IFNA(VLOOKUP(Tabla3[[#This Row],[DISPOSITIVO]],DISPOSITIVO[],2,0),"")</f>
        <v/>
      </c>
      <c r="S465" s="13" t="str">
        <f>_xlfn.IFNA(VLOOKUP(Tabla3[[#This Row],[PROTECCION SECUNDARIA]],PROTECCION_SECUNDARIA[],2,0),"")</f>
        <v/>
      </c>
      <c r="T465" s="13" t="str">
        <f>_xlfn.IFNA(VLOOKUP(Tabla3[[#This Row],[Que]],QUE[#All],2,0),"")</f>
        <v/>
      </c>
      <c r="U465" s="13" t="str">
        <f>_xlfn.IFNA(VLOOKUP(Tabla3[[#This Row],[Señal]],SEÑAL[#All],2,0),"")</f>
        <v/>
      </c>
      <c r="V465" s="13" t="str">
        <f>_xlfn.IFNA(VLOOKUP(Tabla3[[#This Row],[NUMERO]],SEÑAL[#All],2,0),"")</f>
        <v/>
      </c>
    </row>
    <row r="466" spans="1:22" x14ac:dyDescent="0.25">
      <c r="A466" s="26" t="s">
        <v>1254</v>
      </c>
      <c r="B466" s="2" t="s">
        <v>8</v>
      </c>
      <c r="C466" s="2" t="s">
        <v>89</v>
      </c>
      <c r="D466" s="2" t="s">
        <v>109</v>
      </c>
      <c r="E466" s="2" t="s">
        <v>1381</v>
      </c>
      <c r="J466"/>
      <c r="K466"/>
      <c r="L46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6" s="13" t="str">
        <f>VLOOKUP(Tabla3[[#This Row],[Tipo]],TIPO[#All],2,0)</f>
        <v>ET</v>
      </c>
      <c r="O466" s="13" t="str">
        <f>VLOOKUP(Tabla3[[#This Row],[Lugar]],LUGAR[#All],2,0)</f>
        <v>VMN</v>
      </c>
      <c r="P466" s="13" t="str">
        <f>Tabla3[[#This Row],[SIGLAS]]</f>
        <v>TR3</v>
      </c>
      <c r="Q466" s="13" t="str">
        <f>_xlfn.IFNA(VLOOKUP(Tabla3[[#This Row],[Nivel de tension]],NIVEL[#All],2,0),"")</f>
        <v/>
      </c>
      <c r="R466" s="13" t="str">
        <f>_xlfn.IFNA(VLOOKUP(Tabla3[[#This Row],[DISPOSITIVO]],DISPOSITIVO[],2,0),"")</f>
        <v/>
      </c>
      <c r="S466" s="13" t="str">
        <f>_xlfn.IFNA(VLOOKUP(Tabla3[[#This Row],[PROTECCION SECUNDARIA]],PROTECCION_SECUNDARIA[],2,0),"")</f>
        <v/>
      </c>
      <c r="T466" s="13" t="str">
        <f>_xlfn.IFNA(VLOOKUP(Tabla3[[#This Row],[Que]],QUE[#All],2,0),"")</f>
        <v/>
      </c>
      <c r="U466" s="13" t="str">
        <f>_xlfn.IFNA(VLOOKUP(Tabla3[[#This Row],[Señal]],SEÑAL[#All],2,0),"")</f>
        <v/>
      </c>
      <c r="V466" s="13" t="str">
        <f>_xlfn.IFNA(VLOOKUP(Tabla3[[#This Row],[NUMERO]],SEÑAL[#All],2,0),"")</f>
        <v/>
      </c>
    </row>
    <row r="467" spans="1:22" x14ac:dyDescent="0.25">
      <c r="A467" s="26" t="s">
        <v>1255</v>
      </c>
      <c r="B467" s="2" t="s">
        <v>8</v>
      </c>
      <c r="C467" s="2" t="s">
        <v>89</v>
      </c>
      <c r="D467" s="2" t="s">
        <v>109</v>
      </c>
      <c r="E467" s="2" t="s">
        <v>1381</v>
      </c>
      <c r="J467"/>
      <c r="K467"/>
      <c r="L46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7" s="13" t="str">
        <f>VLOOKUP(Tabla3[[#This Row],[Tipo]],TIPO[#All],2,0)</f>
        <v>ET</v>
      </c>
      <c r="O467" s="13" t="str">
        <f>VLOOKUP(Tabla3[[#This Row],[Lugar]],LUGAR[#All],2,0)</f>
        <v>VMN</v>
      </c>
      <c r="P467" s="13" t="str">
        <f>Tabla3[[#This Row],[SIGLAS]]</f>
        <v>TR3</v>
      </c>
      <c r="Q467" s="13" t="str">
        <f>_xlfn.IFNA(VLOOKUP(Tabla3[[#This Row],[Nivel de tension]],NIVEL[#All],2,0),"")</f>
        <v/>
      </c>
      <c r="R467" s="13" t="str">
        <f>_xlfn.IFNA(VLOOKUP(Tabla3[[#This Row],[DISPOSITIVO]],DISPOSITIVO[],2,0),"")</f>
        <v/>
      </c>
      <c r="S467" s="13" t="str">
        <f>_xlfn.IFNA(VLOOKUP(Tabla3[[#This Row],[PROTECCION SECUNDARIA]],PROTECCION_SECUNDARIA[],2,0),"")</f>
        <v/>
      </c>
      <c r="T467" s="13" t="str">
        <f>_xlfn.IFNA(VLOOKUP(Tabla3[[#This Row],[Que]],QUE[#All],2,0),"")</f>
        <v/>
      </c>
      <c r="U467" s="13" t="str">
        <f>_xlfn.IFNA(VLOOKUP(Tabla3[[#This Row],[Señal]],SEÑAL[#All],2,0),"")</f>
        <v/>
      </c>
      <c r="V467" s="13" t="str">
        <f>_xlfn.IFNA(VLOOKUP(Tabla3[[#This Row],[NUMERO]],SEÑAL[#All],2,0),"")</f>
        <v/>
      </c>
    </row>
    <row r="468" spans="1:22" x14ac:dyDescent="0.25">
      <c r="A468" s="26" t="s">
        <v>1256</v>
      </c>
      <c r="B468" s="2" t="s">
        <v>8</v>
      </c>
      <c r="C468" s="2" t="s">
        <v>89</v>
      </c>
      <c r="D468" s="2" t="s">
        <v>109</v>
      </c>
      <c r="E468" s="2" t="s">
        <v>1381</v>
      </c>
      <c r="J468"/>
      <c r="K468"/>
      <c r="L46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8" s="13" t="str">
        <f>VLOOKUP(Tabla3[[#This Row],[Tipo]],TIPO[#All],2,0)</f>
        <v>ET</v>
      </c>
      <c r="O468" s="13" t="str">
        <f>VLOOKUP(Tabla3[[#This Row],[Lugar]],LUGAR[#All],2,0)</f>
        <v>VMN</v>
      </c>
      <c r="P468" s="13" t="str">
        <f>Tabla3[[#This Row],[SIGLAS]]</f>
        <v>TR3</v>
      </c>
      <c r="Q468" s="13" t="str">
        <f>_xlfn.IFNA(VLOOKUP(Tabla3[[#This Row],[Nivel de tension]],NIVEL[#All],2,0),"")</f>
        <v/>
      </c>
      <c r="R468" s="13" t="str">
        <f>_xlfn.IFNA(VLOOKUP(Tabla3[[#This Row],[DISPOSITIVO]],DISPOSITIVO[],2,0),"")</f>
        <v/>
      </c>
      <c r="S468" s="13" t="str">
        <f>_xlfn.IFNA(VLOOKUP(Tabla3[[#This Row],[PROTECCION SECUNDARIA]],PROTECCION_SECUNDARIA[],2,0),"")</f>
        <v/>
      </c>
      <c r="T468" s="13" t="str">
        <f>_xlfn.IFNA(VLOOKUP(Tabla3[[#This Row],[Que]],QUE[#All],2,0),"")</f>
        <v/>
      </c>
      <c r="U468" s="13" t="str">
        <f>_xlfn.IFNA(VLOOKUP(Tabla3[[#This Row],[Señal]],SEÑAL[#All],2,0),"")</f>
        <v/>
      </c>
      <c r="V468" s="13" t="str">
        <f>_xlfn.IFNA(VLOOKUP(Tabla3[[#This Row],[NUMERO]],SEÑAL[#All],2,0),"")</f>
        <v/>
      </c>
    </row>
    <row r="469" spans="1:22" x14ac:dyDescent="0.25">
      <c r="A469" s="26" t="s">
        <v>1257</v>
      </c>
      <c r="B469" s="2" t="s">
        <v>8</v>
      </c>
      <c r="C469" s="2" t="s">
        <v>89</v>
      </c>
      <c r="D469" s="2" t="s">
        <v>109</v>
      </c>
      <c r="E469" s="2" t="s">
        <v>1381</v>
      </c>
      <c r="J469"/>
      <c r="K469"/>
      <c r="L46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69" s="13" t="str">
        <f>VLOOKUP(Tabla3[[#This Row],[Tipo]],TIPO[#All],2,0)</f>
        <v>ET</v>
      </c>
      <c r="O469" s="13" t="str">
        <f>VLOOKUP(Tabla3[[#This Row],[Lugar]],LUGAR[#All],2,0)</f>
        <v>VMN</v>
      </c>
      <c r="P469" s="13" t="str">
        <f>Tabla3[[#This Row],[SIGLAS]]</f>
        <v>TR3</v>
      </c>
      <c r="Q469" s="13" t="str">
        <f>_xlfn.IFNA(VLOOKUP(Tabla3[[#This Row],[Nivel de tension]],NIVEL[#All],2,0),"")</f>
        <v/>
      </c>
      <c r="R469" s="13" t="str">
        <f>_xlfn.IFNA(VLOOKUP(Tabla3[[#This Row],[DISPOSITIVO]],DISPOSITIVO[],2,0),"")</f>
        <v/>
      </c>
      <c r="S469" s="13" t="str">
        <f>_xlfn.IFNA(VLOOKUP(Tabla3[[#This Row],[PROTECCION SECUNDARIA]],PROTECCION_SECUNDARIA[],2,0),"")</f>
        <v/>
      </c>
      <c r="T469" s="13" t="str">
        <f>_xlfn.IFNA(VLOOKUP(Tabla3[[#This Row],[Que]],QUE[#All],2,0),"")</f>
        <v/>
      </c>
      <c r="U469" s="13" t="str">
        <f>_xlfn.IFNA(VLOOKUP(Tabla3[[#This Row],[Señal]],SEÑAL[#All],2,0),"")</f>
        <v/>
      </c>
      <c r="V469" s="13" t="str">
        <f>_xlfn.IFNA(VLOOKUP(Tabla3[[#This Row],[NUMERO]],SEÑAL[#All],2,0),"")</f>
        <v/>
      </c>
    </row>
    <row r="470" spans="1:22" x14ac:dyDescent="0.25">
      <c r="A470" s="26" t="s">
        <v>1258</v>
      </c>
      <c r="B470" s="2" t="s">
        <v>8</v>
      </c>
      <c r="C470" s="2" t="s">
        <v>89</v>
      </c>
      <c r="D470" s="2" t="s">
        <v>109</v>
      </c>
      <c r="E470" s="2" t="s">
        <v>1381</v>
      </c>
      <c r="J470"/>
      <c r="K470"/>
      <c r="L47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0" s="13" t="str">
        <f>VLOOKUP(Tabla3[[#This Row],[Tipo]],TIPO[#All],2,0)</f>
        <v>ET</v>
      </c>
      <c r="O470" s="13" t="str">
        <f>VLOOKUP(Tabla3[[#This Row],[Lugar]],LUGAR[#All],2,0)</f>
        <v>VMN</v>
      </c>
      <c r="P470" s="13" t="str">
        <f>Tabla3[[#This Row],[SIGLAS]]</f>
        <v>TR3</v>
      </c>
      <c r="Q470" s="13" t="str">
        <f>_xlfn.IFNA(VLOOKUP(Tabla3[[#This Row],[Nivel de tension]],NIVEL[#All],2,0),"")</f>
        <v/>
      </c>
      <c r="R470" s="13" t="str">
        <f>_xlfn.IFNA(VLOOKUP(Tabla3[[#This Row],[DISPOSITIVO]],DISPOSITIVO[],2,0),"")</f>
        <v/>
      </c>
      <c r="S470" s="13" t="str">
        <f>_xlfn.IFNA(VLOOKUP(Tabla3[[#This Row],[PROTECCION SECUNDARIA]],PROTECCION_SECUNDARIA[],2,0),"")</f>
        <v/>
      </c>
      <c r="T470" s="13" t="str">
        <f>_xlfn.IFNA(VLOOKUP(Tabla3[[#This Row],[Que]],QUE[#All],2,0),"")</f>
        <v/>
      </c>
      <c r="U470" s="13" t="str">
        <f>_xlfn.IFNA(VLOOKUP(Tabla3[[#This Row],[Señal]],SEÑAL[#All],2,0),"")</f>
        <v/>
      </c>
      <c r="V470" s="13" t="str">
        <f>_xlfn.IFNA(VLOOKUP(Tabla3[[#This Row],[NUMERO]],SEÑAL[#All],2,0),"")</f>
        <v/>
      </c>
    </row>
    <row r="471" spans="1:22" x14ac:dyDescent="0.25">
      <c r="A471" s="26" t="s">
        <v>1259</v>
      </c>
      <c r="B471" s="2" t="s">
        <v>8</v>
      </c>
      <c r="C471" s="2" t="s">
        <v>89</v>
      </c>
      <c r="D471" s="2" t="s">
        <v>109</v>
      </c>
      <c r="E471" s="2" t="s">
        <v>1381</v>
      </c>
      <c r="J471"/>
      <c r="K471"/>
      <c r="L47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1" s="13" t="str">
        <f>VLOOKUP(Tabla3[[#This Row],[Tipo]],TIPO[#All],2,0)</f>
        <v>ET</v>
      </c>
      <c r="O471" s="13" t="str">
        <f>VLOOKUP(Tabla3[[#This Row],[Lugar]],LUGAR[#All],2,0)</f>
        <v>VMN</v>
      </c>
      <c r="P471" s="13" t="str">
        <f>Tabla3[[#This Row],[SIGLAS]]</f>
        <v>TR3</v>
      </c>
      <c r="Q471" s="13" t="str">
        <f>_xlfn.IFNA(VLOOKUP(Tabla3[[#This Row],[Nivel de tension]],NIVEL[#All],2,0),"")</f>
        <v/>
      </c>
      <c r="R471" s="13" t="str">
        <f>_xlfn.IFNA(VLOOKUP(Tabla3[[#This Row],[DISPOSITIVO]],DISPOSITIVO[],2,0),"")</f>
        <v/>
      </c>
      <c r="S471" s="13" t="str">
        <f>_xlfn.IFNA(VLOOKUP(Tabla3[[#This Row],[PROTECCION SECUNDARIA]],PROTECCION_SECUNDARIA[],2,0),"")</f>
        <v/>
      </c>
      <c r="T471" s="13" t="str">
        <f>_xlfn.IFNA(VLOOKUP(Tabla3[[#This Row],[Que]],QUE[#All],2,0),"")</f>
        <v/>
      </c>
      <c r="U471" s="13" t="str">
        <f>_xlfn.IFNA(VLOOKUP(Tabla3[[#This Row],[Señal]],SEÑAL[#All],2,0),"")</f>
        <v/>
      </c>
      <c r="V471" s="13" t="str">
        <f>_xlfn.IFNA(VLOOKUP(Tabla3[[#This Row],[NUMERO]],SEÑAL[#All],2,0),"")</f>
        <v/>
      </c>
    </row>
    <row r="472" spans="1:22" x14ac:dyDescent="0.25">
      <c r="A472" s="26" t="s">
        <v>1260</v>
      </c>
      <c r="B472" s="2" t="s">
        <v>8</v>
      </c>
      <c r="C472" s="2" t="s">
        <v>89</v>
      </c>
      <c r="D472" s="2" t="s">
        <v>109</v>
      </c>
      <c r="E472" s="2" t="s">
        <v>1381</v>
      </c>
      <c r="J472"/>
      <c r="K472"/>
      <c r="L47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2" s="13" t="str">
        <f>VLOOKUP(Tabla3[[#This Row],[Tipo]],TIPO[#All],2,0)</f>
        <v>ET</v>
      </c>
      <c r="O472" s="13" t="str">
        <f>VLOOKUP(Tabla3[[#This Row],[Lugar]],LUGAR[#All],2,0)</f>
        <v>VMN</v>
      </c>
      <c r="P472" s="13" t="str">
        <f>Tabla3[[#This Row],[SIGLAS]]</f>
        <v>TR3</v>
      </c>
      <c r="Q472" s="13" t="str">
        <f>_xlfn.IFNA(VLOOKUP(Tabla3[[#This Row],[Nivel de tension]],NIVEL[#All],2,0),"")</f>
        <v/>
      </c>
      <c r="R472" s="13" t="str">
        <f>_xlfn.IFNA(VLOOKUP(Tabla3[[#This Row],[DISPOSITIVO]],DISPOSITIVO[],2,0),"")</f>
        <v/>
      </c>
      <c r="S472" s="13" t="str">
        <f>_xlfn.IFNA(VLOOKUP(Tabla3[[#This Row],[PROTECCION SECUNDARIA]],PROTECCION_SECUNDARIA[],2,0),"")</f>
        <v/>
      </c>
      <c r="T472" s="13" t="str">
        <f>_xlfn.IFNA(VLOOKUP(Tabla3[[#This Row],[Que]],QUE[#All],2,0),"")</f>
        <v/>
      </c>
      <c r="U472" s="13" t="str">
        <f>_xlfn.IFNA(VLOOKUP(Tabla3[[#This Row],[Señal]],SEÑAL[#All],2,0),"")</f>
        <v/>
      </c>
      <c r="V472" s="13" t="str">
        <f>_xlfn.IFNA(VLOOKUP(Tabla3[[#This Row],[NUMERO]],SEÑAL[#All],2,0),"")</f>
        <v/>
      </c>
    </row>
    <row r="473" spans="1:22" x14ac:dyDescent="0.25">
      <c r="A473" s="26" t="s">
        <v>1261</v>
      </c>
      <c r="B473" s="2" t="s">
        <v>8</v>
      </c>
      <c r="C473" s="2" t="s">
        <v>89</v>
      </c>
      <c r="D473" s="2" t="s">
        <v>109</v>
      </c>
      <c r="E473" s="2" t="s">
        <v>1381</v>
      </c>
      <c r="J473"/>
      <c r="K473"/>
      <c r="L47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3" s="13" t="str">
        <f>VLOOKUP(Tabla3[[#This Row],[Tipo]],TIPO[#All],2,0)</f>
        <v>ET</v>
      </c>
      <c r="O473" s="13" t="str">
        <f>VLOOKUP(Tabla3[[#This Row],[Lugar]],LUGAR[#All],2,0)</f>
        <v>VMN</v>
      </c>
      <c r="P473" s="13" t="str">
        <f>Tabla3[[#This Row],[SIGLAS]]</f>
        <v>TR3</v>
      </c>
      <c r="Q473" s="13" t="str">
        <f>_xlfn.IFNA(VLOOKUP(Tabla3[[#This Row],[Nivel de tension]],NIVEL[#All],2,0),"")</f>
        <v/>
      </c>
      <c r="R473" s="13" t="str">
        <f>_xlfn.IFNA(VLOOKUP(Tabla3[[#This Row],[DISPOSITIVO]],DISPOSITIVO[],2,0),"")</f>
        <v/>
      </c>
      <c r="S473" s="13" t="str">
        <f>_xlfn.IFNA(VLOOKUP(Tabla3[[#This Row],[PROTECCION SECUNDARIA]],PROTECCION_SECUNDARIA[],2,0),"")</f>
        <v/>
      </c>
      <c r="T473" s="13" t="str">
        <f>_xlfn.IFNA(VLOOKUP(Tabla3[[#This Row],[Que]],QUE[#All],2,0),"")</f>
        <v/>
      </c>
      <c r="U473" s="13" t="str">
        <f>_xlfn.IFNA(VLOOKUP(Tabla3[[#This Row],[Señal]],SEÑAL[#All],2,0),"")</f>
        <v/>
      </c>
      <c r="V473" s="13" t="str">
        <f>_xlfn.IFNA(VLOOKUP(Tabla3[[#This Row],[NUMERO]],SEÑAL[#All],2,0),"")</f>
        <v/>
      </c>
    </row>
    <row r="474" spans="1:22" x14ac:dyDescent="0.25">
      <c r="A474" s="26" t="s">
        <v>1262</v>
      </c>
      <c r="B474" s="2" t="s">
        <v>8</v>
      </c>
      <c r="C474" s="2" t="s">
        <v>89</v>
      </c>
      <c r="D474" s="2" t="s">
        <v>109</v>
      </c>
      <c r="E474" s="2" t="s">
        <v>1381</v>
      </c>
      <c r="J474"/>
      <c r="K474"/>
      <c r="L47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4" s="13" t="str">
        <f>VLOOKUP(Tabla3[[#This Row],[Tipo]],TIPO[#All],2,0)</f>
        <v>ET</v>
      </c>
      <c r="O474" s="13" t="str">
        <f>VLOOKUP(Tabla3[[#This Row],[Lugar]],LUGAR[#All],2,0)</f>
        <v>VMN</v>
      </c>
      <c r="P474" s="13" t="str">
        <f>Tabla3[[#This Row],[SIGLAS]]</f>
        <v>TR3</v>
      </c>
      <c r="Q474" s="13" t="str">
        <f>_xlfn.IFNA(VLOOKUP(Tabla3[[#This Row],[Nivel de tension]],NIVEL[#All],2,0),"")</f>
        <v/>
      </c>
      <c r="R474" s="13" t="str">
        <f>_xlfn.IFNA(VLOOKUP(Tabla3[[#This Row],[DISPOSITIVO]],DISPOSITIVO[],2,0),"")</f>
        <v/>
      </c>
      <c r="S474" s="13" t="str">
        <f>_xlfn.IFNA(VLOOKUP(Tabla3[[#This Row],[PROTECCION SECUNDARIA]],PROTECCION_SECUNDARIA[],2,0),"")</f>
        <v/>
      </c>
      <c r="T474" s="13" t="str">
        <f>_xlfn.IFNA(VLOOKUP(Tabla3[[#This Row],[Que]],QUE[#All],2,0),"")</f>
        <v/>
      </c>
      <c r="U474" s="13" t="str">
        <f>_xlfn.IFNA(VLOOKUP(Tabla3[[#This Row],[Señal]],SEÑAL[#All],2,0),"")</f>
        <v/>
      </c>
      <c r="V474" s="13" t="str">
        <f>_xlfn.IFNA(VLOOKUP(Tabla3[[#This Row],[NUMERO]],SEÑAL[#All],2,0),"")</f>
        <v/>
      </c>
    </row>
    <row r="475" spans="1:22" x14ac:dyDescent="0.25">
      <c r="A475" s="26" t="s">
        <v>1263</v>
      </c>
      <c r="B475" s="2" t="s">
        <v>8</v>
      </c>
      <c r="C475" s="2" t="s">
        <v>89</v>
      </c>
      <c r="D475" s="2" t="s">
        <v>109</v>
      </c>
      <c r="E475" s="2" t="s">
        <v>1381</v>
      </c>
      <c r="J475"/>
      <c r="K475"/>
      <c r="L47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5" s="13" t="str">
        <f>VLOOKUP(Tabla3[[#This Row],[Tipo]],TIPO[#All],2,0)</f>
        <v>ET</v>
      </c>
      <c r="O475" s="13" t="str">
        <f>VLOOKUP(Tabla3[[#This Row],[Lugar]],LUGAR[#All],2,0)</f>
        <v>VMN</v>
      </c>
      <c r="P475" s="13" t="str">
        <f>Tabla3[[#This Row],[SIGLAS]]</f>
        <v>TR3</v>
      </c>
      <c r="Q475" s="13" t="str">
        <f>_xlfn.IFNA(VLOOKUP(Tabla3[[#This Row],[Nivel de tension]],NIVEL[#All],2,0),"")</f>
        <v/>
      </c>
      <c r="R475" s="13" t="str">
        <f>_xlfn.IFNA(VLOOKUP(Tabla3[[#This Row],[DISPOSITIVO]],DISPOSITIVO[],2,0),"")</f>
        <v/>
      </c>
      <c r="S475" s="13" t="str">
        <f>_xlfn.IFNA(VLOOKUP(Tabla3[[#This Row],[PROTECCION SECUNDARIA]],PROTECCION_SECUNDARIA[],2,0),"")</f>
        <v/>
      </c>
      <c r="T475" s="13" t="str">
        <f>_xlfn.IFNA(VLOOKUP(Tabla3[[#This Row],[Que]],QUE[#All],2,0),"")</f>
        <v/>
      </c>
      <c r="U475" s="13" t="str">
        <f>_xlfn.IFNA(VLOOKUP(Tabla3[[#This Row],[Señal]],SEÑAL[#All],2,0),"")</f>
        <v/>
      </c>
      <c r="V475" s="13" t="str">
        <f>_xlfn.IFNA(VLOOKUP(Tabla3[[#This Row],[NUMERO]],SEÑAL[#All],2,0),"")</f>
        <v/>
      </c>
    </row>
    <row r="476" spans="1:22" x14ac:dyDescent="0.25">
      <c r="A476" s="26" t="s">
        <v>1264</v>
      </c>
      <c r="B476" s="2" t="s">
        <v>8</v>
      </c>
      <c r="C476" s="2" t="s">
        <v>89</v>
      </c>
      <c r="D476" s="2" t="s">
        <v>109</v>
      </c>
      <c r="E476" s="2" t="s">
        <v>1381</v>
      </c>
      <c r="J476"/>
      <c r="K476"/>
      <c r="L47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6" s="13" t="str">
        <f>VLOOKUP(Tabla3[[#This Row],[Tipo]],TIPO[#All],2,0)</f>
        <v>ET</v>
      </c>
      <c r="O476" s="13" t="str">
        <f>VLOOKUP(Tabla3[[#This Row],[Lugar]],LUGAR[#All],2,0)</f>
        <v>VMN</v>
      </c>
      <c r="P476" s="13" t="str">
        <f>Tabla3[[#This Row],[SIGLAS]]</f>
        <v>TR3</v>
      </c>
      <c r="Q476" s="13" t="str">
        <f>_xlfn.IFNA(VLOOKUP(Tabla3[[#This Row],[Nivel de tension]],NIVEL[#All],2,0),"")</f>
        <v/>
      </c>
      <c r="R476" s="13" t="str">
        <f>_xlfn.IFNA(VLOOKUP(Tabla3[[#This Row],[DISPOSITIVO]],DISPOSITIVO[],2,0),"")</f>
        <v/>
      </c>
      <c r="S476" s="13" t="str">
        <f>_xlfn.IFNA(VLOOKUP(Tabla3[[#This Row],[PROTECCION SECUNDARIA]],PROTECCION_SECUNDARIA[],2,0),"")</f>
        <v/>
      </c>
      <c r="T476" s="13" t="str">
        <f>_xlfn.IFNA(VLOOKUP(Tabla3[[#This Row],[Que]],QUE[#All],2,0),"")</f>
        <v/>
      </c>
      <c r="U476" s="13" t="str">
        <f>_xlfn.IFNA(VLOOKUP(Tabla3[[#This Row],[Señal]],SEÑAL[#All],2,0),"")</f>
        <v/>
      </c>
      <c r="V476" s="13" t="str">
        <f>_xlfn.IFNA(VLOOKUP(Tabla3[[#This Row],[NUMERO]],SEÑAL[#All],2,0),"")</f>
        <v/>
      </c>
    </row>
    <row r="477" spans="1:22" x14ac:dyDescent="0.25">
      <c r="A477" s="26" t="s">
        <v>1265</v>
      </c>
      <c r="B477" s="2" t="s">
        <v>8</v>
      </c>
      <c r="C477" s="2" t="s">
        <v>89</v>
      </c>
      <c r="D477" s="2" t="s">
        <v>109</v>
      </c>
      <c r="E477" s="2" t="s">
        <v>1381</v>
      </c>
      <c r="J477"/>
      <c r="K477"/>
      <c r="L47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7" s="13" t="str">
        <f>VLOOKUP(Tabla3[[#This Row],[Tipo]],TIPO[#All],2,0)</f>
        <v>ET</v>
      </c>
      <c r="O477" s="13" t="str">
        <f>VLOOKUP(Tabla3[[#This Row],[Lugar]],LUGAR[#All],2,0)</f>
        <v>VMN</v>
      </c>
      <c r="P477" s="13" t="str">
        <f>Tabla3[[#This Row],[SIGLAS]]</f>
        <v>TR3</v>
      </c>
      <c r="Q477" s="13" t="str">
        <f>_xlfn.IFNA(VLOOKUP(Tabla3[[#This Row],[Nivel de tension]],NIVEL[#All],2,0),"")</f>
        <v/>
      </c>
      <c r="R477" s="13" t="str">
        <f>_xlfn.IFNA(VLOOKUP(Tabla3[[#This Row],[DISPOSITIVO]],DISPOSITIVO[],2,0),"")</f>
        <v/>
      </c>
      <c r="S477" s="13" t="str">
        <f>_xlfn.IFNA(VLOOKUP(Tabla3[[#This Row],[PROTECCION SECUNDARIA]],PROTECCION_SECUNDARIA[],2,0),"")</f>
        <v/>
      </c>
      <c r="T477" s="13" t="str">
        <f>_xlfn.IFNA(VLOOKUP(Tabla3[[#This Row],[Que]],QUE[#All],2,0),"")</f>
        <v/>
      </c>
      <c r="U477" s="13" t="str">
        <f>_xlfn.IFNA(VLOOKUP(Tabla3[[#This Row],[Señal]],SEÑAL[#All],2,0),"")</f>
        <v/>
      </c>
      <c r="V477" s="13" t="str">
        <f>_xlfn.IFNA(VLOOKUP(Tabla3[[#This Row],[NUMERO]],SEÑAL[#All],2,0),"")</f>
        <v/>
      </c>
    </row>
    <row r="478" spans="1:22" x14ac:dyDescent="0.25">
      <c r="A478" s="26" t="s">
        <v>1266</v>
      </c>
      <c r="B478" s="2" t="s">
        <v>8</v>
      </c>
      <c r="C478" s="2" t="s">
        <v>89</v>
      </c>
      <c r="D478" s="2" t="s">
        <v>109</v>
      </c>
      <c r="E478" s="2" t="s">
        <v>1381</v>
      </c>
      <c r="J478"/>
      <c r="K478"/>
      <c r="L47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8" s="13" t="str">
        <f>VLOOKUP(Tabla3[[#This Row],[Tipo]],TIPO[#All],2,0)</f>
        <v>ET</v>
      </c>
      <c r="O478" s="13" t="str">
        <f>VLOOKUP(Tabla3[[#This Row],[Lugar]],LUGAR[#All],2,0)</f>
        <v>VMN</v>
      </c>
      <c r="P478" s="13" t="str">
        <f>Tabla3[[#This Row],[SIGLAS]]</f>
        <v>TR3</v>
      </c>
      <c r="Q478" s="13" t="str">
        <f>_xlfn.IFNA(VLOOKUP(Tabla3[[#This Row],[Nivel de tension]],NIVEL[#All],2,0),"")</f>
        <v/>
      </c>
      <c r="R478" s="13" t="str">
        <f>_xlfn.IFNA(VLOOKUP(Tabla3[[#This Row],[DISPOSITIVO]],DISPOSITIVO[],2,0),"")</f>
        <v/>
      </c>
      <c r="S478" s="13" t="str">
        <f>_xlfn.IFNA(VLOOKUP(Tabla3[[#This Row],[PROTECCION SECUNDARIA]],PROTECCION_SECUNDARIA[],2,0),"")</f>
        <v/>
      </c>
      <c r="T478" s="13" t="str">
        <f>_xlfn.IFNA(VLOOKUP(Tabla3[[#This Row],[Que]],QUE[#All],2,0),"")</f>
        <v/>
      </c>
      <c r="U478" s="13" t="str">
        <f>_xlfn.IFNA(VLOOKUP(Tabla3[[#This Row],[Señal]],SEÑAL[#All],2,0),"")</f>
        <v/>
      </c>
      <c r="V478" s="13" t="str">
        <f>_xlfn.IFNA(VLOOKUP(Tabla3[[#This Row],[NUMERO]],SEÑAL[#All],2,0),"")</f>
        <v/>
      </c>
    </row>
    <row r="479" spans="1:22" x14ac:dyDescent="0.25">
      <c r="A479" s="26" t="s">
        <v>1267</v>
      </c>
      <c r="B479" s="2" t="s">
        <v>8</v>
      </c>
      <c r="C479" s="2" t="s">
        <v>89</v>
      </c>
      <c r="D479" s="2" t="s">
        <v>109</v>
      </c>
      <c r="E479" s="2" t="s">
        <v>1381</v>
      </c>
      <c r="J479"/>
      <c r="K479"/>
      <c r="L47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79" s="13" t="str">
        <f>VLOOKUP(Tabla3[[#This Row],[Tipo]],TIPO[#All],2,0)</f>
        <v>ET</v>
      </c>
      <c r="O479" s="13" t="str">
        <f>VLOOKUP(Tabla3[[#This Row],[Lugar]],LUGAR[#All],2,0)</f>
        <v>VMN</v>
      </c>
      <c r="P479" s="13" t="str">
        <f>Tabla3[[#This Row],[SIGLAS]]</f>
        <v>TR3</v>
      </c>
      <c r="Q479" s="13" t="str">
        <f>_xlfn.IFNA(VLOOKUP(Tabla3[[#This Row],[Nivel de tension]],NIVEL[#All],2,0),"")</f>
        <v/>
      </c>
      <c r="R479" s="13" t="str">
        <f>_xlfn.IFNA(VLOOKUP(Tabla3[[#This Row],[DISPOSITIVO]],DISPOSITIVO[],2,0),"")</f>
        <v/>
      </c>
      <c r="S479" s="13" t="str">
        <f>_xlfn.IFNA(VLOOKUP(Tabla3[[#This Row],[PROTECCION SECUNDARIA]],PROTECCION_SECUNDARIA[],2,0),"")</f>
        <v/>
      </c>
      <c r="T479" s="13" t="str">
        <f>_xlfn.IFNA(VLOOKUP(Tabla3[[#This Row],[Que]],QUE[#All],2,0),"")</f>
        <v/>
      </c>
      <c r="U479" s="13" t="str">
        <f>_xlfn.IFNA(VLOOKUP(Tabla3[[#This Row],[Señal]],SEÑAL[#All],2,0),"")</f>
        <v/>
      </c>
      <c r="V479" s="13" t="str">
        <f>_xlfn.IFNA(VLOOKUP(Tabla3[[#This Row],[NUMERO]],SEÑAL[#All],2,0),"")</f>
        <v/>
      </c>
    </row>
    <row r="480" spans="1:22" x14ac:dyDescent="0.25">
      <c r="A480" s="26" t="s">
        <v>1268</v>
      </c>
      <c r="B480" s="2" t="s">
        <v>8</v>
      </c>
      <c r="C480" s="2" t="s">
        <v>89</v>
      </c>
      <c r="D480" s="2" t="s">
        <v>109</v>
      </c>
      <c r="E480" s="2" t="s">
        <v>1381</v>
      </c>
      <c r="J480"/>
      <c r="K480"/>
      <c r="L48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0" s="13" t="str">
        <f>VLOOKUP(Tabla3[[#This Row],[Tipo]],TIPO[#All],2,0)</f>
        <v>ET</v>
      </c>
      <c r="O480" s="13" t="str">
        <f>VLOOKUP(Tabla3[[#This Row],[Lugar]],LUGAR[#All],2,0)</f>
        <v>VMN</v>
      </c>
      <c r="P480" s="13" t="str">
        <f>Tabla3[[#This Row],[SIGLAS]]</f>
        <v>TR3</v>
      </c>
      <c r="Q480" s="13" t="str">
        <f>_xlfn.IFNA(VLOOKUP(Tabla3[[#This Row],[Nivel de tension]],NIVEL[#All],2,0),"")</f>
        <v/>
      </c>
      <c r="R480" s="13" t="str">
        <f>_xlfn.IFNA(VLOOKUP(Tabla3[[#This Row],[DISPOSITIVO]],DISPOSITIVO[],2,0),"")</f>
        <v/>
      </c>
      <c r="S480" s="13" t="str">
        <f>_xlfn.IFNA(VLOOKUP(Tabla3[[#This Row],[PROTECCION SECUNDARIA]],PROTECCION_SECUNDARIA[],2,0),"")</f>
        <v/>
      </c>
      <c r="T480" s="13" t="str">
        <f>_xlfn.IFNA(VLOOKUP(Tabla3[[#This Row],[Que]],QUE[#All],2,0),"")</f>
        <v/>
      </c>
      <c r="U480" s="13" t="str">
        <f>_xlfn.IFNA(VLOOKUP(Tabla3[[#This Row],[Señal]],SEÑAL[#All],2,0),"")</f>
        <v/>
      </c>
      <c r="V480" s="13" t="str">
        <f>_xlfn.IFNA(VLOOKUP(Tabla3[[#This Row],[NUMERO]],SEÑAL[#All],2,0),"")</f>
        <v/>
      </c>
    </row>
    <row r="481" spans="1:22" x14ac:dyDescent="0.25">
      <c r="A481" s="26" t="s">
        <v>1269</v>
      </c>
      <c r="B481" s="2" t="s">
        <v>8</v>
      </c>
      <c r="C481" s="2" t="s">
        <v>89</v>
      </c>
      <c r="D481" s="2" t="s">
        <v>109</v>
      </c>
      <c r="E481" s="2" t="s">
        <v>1381</v>
      </c>
      <c r="J481"/>
      <c r="K481"/>
      <c r="L48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1" s="13" t="str">
        <f>VLOOKUP(Tabla3[[#This Row],[Tipo]],TIPO[#All],2,0)</f>
        <v>ET</v>
      </c>
      <c r="O481" s="13" t="str">
        <f>VLOOKUP(Tabla3[[#This Row],[Lugar]],LUGAR[#All],2,0)</f>
        <v>VMN</v>
      </c>
      <c r="P481" s="13" t="str">
        <f>Tabla3[[#This Row],[SIGLAS]]</f>
        <v>TR3</v>
      </c>
      <c r="Q481" s="13" t="str">
        <f>_xlfn.IFNA(VLOOKUP(Tabla3[[#This Row],[Nivel de tension]],NIVEL[#All],2,0),"")</f>
        <v/>
      </c>
      <c r="R481" s="13" t="str">
        <f>_xlfn.IFNA(VLOOKUP(Tabla3[[#This Row],[DISPOSITIVO]],DISPOSITIVO[],2,0),"")</f>
        <v/>
      </c>
      <c r="S481" s="13" t="str">
        <f>_xlfn.IFNA(VLOOKUP(Tabla3[[#This Row],[PROTECCION SECUNDARIA]],PROTECCION_SECUNDARIA[],2,0),"")</f>
        <v/>
      </c>
      <c r="T481" s="13" t="str">
        <f>_xlfn.IFNA(VLOOKUP(Tabla3[[#This Row],[Que]],QUE[#All],2,0),"")</f>
        <v/>
      </c>
      <c r="U481" s="13" t="str">
        <f>_xlfn.IFNA(VLOOKUP(Tabla3[[#This Row],[Señal]],SEÑAL[#All],2,0),"")</f>
        <v/>
      </c>
      <c r="V481" s="13" t="str">
        <f>_xlfn.IFNA(VLOOKUP(Tabla3[[#This Row],[NUMERO]],SEÑAL[#All],2,0),"")</f>
        <v/>
      </c>
    </row>
    <row r="482" spans="1:22" x14ac:dyDescent="0.25">
      <c r="A482" s="26" t="s">
        <v>1270</v>
      </c>
      <c r="B482" s="2" t="s">
        <v>8</v>
      </c>
      <c r="C482" s="2" t="s">
        <v>89</v>
      </c>
      <c r="D482" s="2" t="s">
        <v>109</v>
      </c>
      <c r="E482" s="2" t="s">
        <v>1381</v>
      </c>
      <c r="J482"/>
      <c r="K482"/>
      <c r="L48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2" s="13" t="str">
        <f>VLOOKUP(Tabla3[[#This Row],[Tipo]],TIPO[#All],2,0)</f>
        <v>ET</v>
      </c>
      <c r="O482" s="13" t="str">
        <f>VLOOKUP(Tabla3[[#This Row],[Lugar]],LUGAR[#All],2,0)</f>
        <v>VMN</v>
      </c>
      <c r="P482" s="13" t="str">
        <f>Tabla3[[#This Row],[SIGLAS]]</f>
        <v>TR3</v>
      </c>
      <c r="Q482" s="13" t="str">
        <f>_xlfn.IFNA(VLOOKUP(Tabla3[[#This Row],[Nivel de tension]],NIVEL[#All],2,0),"")</f>
        <v/>
      </c>
      <c r="R482" s="13" t="str">
        <f>_xlfn.IFNA(VLOOKUP(Tabla3[[#This Row],[DISPOSITIVO]],DISPOSITIVO[],2,0),"")</f>
        <v/>
      </c>
      <c r="S482" s="13" t="str">
        <f>_xlfn.IFNA(VLOOKUP(Tabla3[[#This Row],[PROTECCION SECUNDARIA]],PROTECCION_SECUNDARIA[],2,0),"")</f>
        <v/>
      </c>
      <c r="T482" s="13" t="str">
        <f>_xlfn.IFNA(VLOOKUP(Tabla3[[#This Row],[Que]],QUE[#All],2,0),"")</f>
        <v/>
      </c>
      <c r="U482" s="13" t="str">
        <f>_xlfn.IFNA(VLOOKUP(Tabla3[[#This Row],[Señal]],SEÑAL[#All],2,0),"")</f>
        <v/>
      </c>
      <c r="V482" s="13" t="str">
        <f>_xlfn.IFNA(VLOOKUP(Tabla3[[#This Row],[NUMERO]],SEÑAL[#All],2,0),"")</f>
        <v/>
      </c>
    </row>
    <row r="483" spans="1:22" x14ac:dyDescent="0.25">
      <c r="A483" s="26" t="s">
        <v>1271</v>
      </c>
      <c r="B483" s="2" t="s">
        <v>8</v>
      </c>
      <c r="C483" s="2" t="s">
        <v>89</v>
      </c>
      <c r="D483" s="2" t="s">
        <v>109</v>
      </c>
      <c r="E483" s="2" t="s">
        <v>1381</v>
      </c>
      <c r="J483"/>
      <c r="K483"/>
      <c r="L48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3" s="13" t="str">
        <f>VLOOKUP(Tabla3[[#This Row],[Tipo]],TIPO[#All],2,0)</f>
        <v>ET</v>
      </c>
      <c r="O483" s="13" t="str">
        <f>VLOOKUP(Tabla3[[#This Row],[Lugar]],LUGAR[#All],2,0)</f>
        <v>VMN</v>
      </c>
      <c r="P483" s="13" t="str">
        <f>Tabla3[[#This Row],[SIGLAS]]</f>
        <v>TR3</v>
      </c>
      <c r="Q483" s="13" t="str">
        <f>_xlfn.IFNA(VLOOKUP(Tabla3[[#This Row],[Nivel de tension]],NIVEL[#All],2,0),"")</f>
        <v/>
      </c>
      <c r="R483" s="13" t="str">
        <f>_xlfn.IFNA(VLOOKUP(Tabla3[[#This Row],[DISPOSITIVO]],DISPOSITIVO[],2,0),"")</f>
        <v/>
      </c>
      <c r="S483" s="13" t="str">
        <f>_xlfn.IFNA(VLOOKUP(Tabla3[[#This Row],[PROTECCION SECUNDARIA]],PROTECCION_SECUNDARIA[],2,0),"")</f>
        <v/>
      </c>
      <c r="T483" s="13" t="str">
        <f>_xlfn.IFNA(VLOOKUP(Tabla3[[#This Row],[Que]],QUE[#All],2,0),"")</f>
        <v/>
      </c>
      <c r="U483" s="13" t="str">
        <f>_xlfn.IFNA(VLOOKUP(Tabla3[[#This Row],[Señal]],SEÑAL[#All],2,0),"")</f>
        <v/>
      </c>
      <c r="V483" s="13" t="str">
        <f>_xlfn.IFNA(VLOOKUP(Tabla3[[#This Row],[NUMERO]],SEÑAL[#All],2,0),"")</f>
        <v/>
      </c>
    </row>
    <row r="484" spans="1:22" x14ac:dyDescent="0.25">
      <c r="A484" s="26" t="s">
        <v>1272</v>
      </c>
      <c r="B484" s="2" t="s">
        <v>8</v>
      </c>
      <c r="C484" s="2" t="s">
        <v>89</v>
      </c>
      <c r="D484" s="2" t="s">
        <v>109</v>
      </c>
      <c r="E484" s="2" t="s">
        <v>1381</v>
      </c>
      <c r="J484"/>
      <c r="K484"/>
      <c r="L48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4" s="13" t="str">
        <f>VLOOKUP(Tabla3[[#This Row],[Tipo]],TIPO[#All],2,0)</f>
        <v>ET</v>
      </c>
      <c r="O484" s="13" t="str">
        <f>VLOOKUP(Tabla3[[#This Row],[Lugar]],LUGAR[#All],2,0)</f>
        <v>VMN</v>
      </c>
      <c r="P484" s="13" t="str">
        <f>Tabla3[[#This Row],[SIGLAS]]</f>
        <v>TR3</v>
      </c>
      <c r="Q484" s="13" t="str">
        <f>_xlfn.IFNA(VLOOKUP(Tabla3[[#This Row],[Nivel de tension]],NIVEL[#All],2,0),"")</f>
        <v/>
      </c>
      <c r="R484" s="13" t="str">
        <f>_xlfn.IFNA(VLOOKUP(Tabla3[[#This Row],[DISPOSITIVO]],DISPOSITIVO[],2,0),"")</f>
        <v/>
      </c>
      <c r="S484" s="13" t="str">
        <f>_xlfn.IFNA(VLOOKUP(Tabla3[[#This Row],[PROTECCION SECUNDARIA]],PROTECCION_SECUNDARIA[],2,0),"")</f>
        <v/>
      </c>
      <c r="T484" s="13" t="str">
        <f>_xlfn.IFNA(VLOOKUP(Tabla3[[#This Row],[Que]],QUE[#All],2,0),"")</f>
        <v/>
      </c>
      <c r="U484" s="13" t="str">
        <f>_xlfn.IFNA(VLOOKUP(Tabla3[[#This Row],[Señal]],SEÑAL[#All],2,0),"")</f>
        <v/>
      </c>
      <c r="V484" s="13" t="str">
        <f>_xlfn.IFNA(VLOOKUP(Tabla3[[#This Row],[NUMERO]],SEÑAL[#All],2,0),"")</f>
        <v/>
      </c>
    </row>
    <row r="485" spans="1:22" x14ac:dyDescent="0.25">
      <c r="A485" s="26" t="s">
        <v>1273</v>
      </c>
      <c r="B485" s="2" t="s">
        <v>8</v>
      </c>
      <c r="C485" s="2" t="s">
        <v>89</v>
      </c>
      <c r="D485" s="2" t="s">
        <v>109</v>
      </c>
      <c r="E485" s="2" t="s">
        <v>1381</v>
      </c>
      <c r="J485"/>
      <c r="K485"/>
      <c r="L48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5" s="13" t="str">
        <f>VLOOKUP(Tabla3[[#This Row],[Tipo]],TIPO[#All],2,0)</f>
        <v>ET</v>
      </c>
      <c r="O485" s="13" t="str">
        <f>VLOOKUP(Tabla3[[#This Row],[Lugar]],LUGAR[#All],2,0)</f>
        <v>VMN</v>
      </c>
      <c r="P485" s="13" t="str">
        <f>Tabla3[[#This Row],[SIGLAS]]</f>
        <v>TR3</v>
      </c>
      <c r="Q485" s="13" t="str">
        <f>_xlfn.IFNA(VLOOKUP(Tabla3[[#This Row],[Nivel de tension]],NIVEL[#All],2,0),"")</f>
        <v/>
      </c>
      <c r="R485" s="13" t="str">
        <f>_xlfn.IFNA(VLOOKUP(Tabla3[[#This Row],[DISPOSITIVO]],DISPOSITIVO[],2,0),"")</f>
        <v/>
      </c>
      <c r="S485" s="13" t="str">
        <f>_xlfn.IFNA(VLOOKUP(Tabla3[[#This Row],[PROTECCION SECUNDARIA]],PROTECCION_SECUNDARIA[],2,0),"")</f>
        <v/>
      </c>
      <c r="T485" s="13" t="str">
        <f>_xlfn.IFNA(VLOOKUP(Tabla3[[#This Row],[Que]],QUE[#All],2,0),"")</f>
        <v/>
      </c>
      <c r="U485" s="13" t="str">
        <f>_xlfn.IFNA(VLOOKUP(Tabla3[[#This Row],[Señal]],SEÑAL[#All],2,0),"")</f>
        <v/>
      </c>
      <c r="V485" s="13" t="str">
        <f>_xlfn.IFNA(VLOOKUP(Tabla3[[#This Row],[NUMERO]],SEÑAL[#All],2,0),"")</f>
        <v/>
      </c>
    </row>
    <row r="486" spans="1:22" x14ac:dyDescent="0.25">
      <c r="A486" s="26" t="s">
        <v>1274</v>
      </c>
      <c r="B486" s="2" t="s">
        <v>8</v>
      </c>
      <c r="C486" s="2" t="s">
        <v>89</v>
      </c>
      <c r="D486" s="2" t="s">
        <v>109</v>
      </c>
      <c r="E486" s="2" t="s">
        <v>1381</v>
      </c>
      <c r="J486"/>
      <c r="K486"/>
      <c r="L48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6" s="13" t="str">
        <f>VLOOKUP(Tabla3[[#This Row],[Tipo]],TIPO[#All],2,0)</f>
        <v>ET</v>
      </c>
      <c r="O486" s="13" t="str">
        <f>VLOOKUP(Tabla3[[#This Row],[Lugar]],LUGAR[#All],2,0)</f>
        <v>VMN</v>
      </c>
      <c r="P486" s="13" t="str">
        <f>Tabla3[[#This Row],[SIGLAS]]</f>
        <v>TR3</v>
      </c>
      <c r="Q486" s="13" t="str">
        <f>_xlfn.IFNA(VLOOKUP(Tabla3[[#This Row],[Nivel de tension]],NIVEL[#All],2,0),"")</f>
        <v/>
      </c>
      <c r="R486" s="13" t="str">
        <f>_xlfn.IFNA(VLOOKUP(Tabla3[[#This Row],[DISPOSITIVO]],DISPOSITIVO[],2,0),"")</f>
        <v/>
      </c>
      <c r="S486" s="13" t="str">
        <f>_xlfn.IFNA(VLOOKUP(Tabla3[[#This Row],[PROTECCION SECUNDARIA]],PROTECCION_SECUNDARIA[],2,0),"")</f>
        <v/>
      </c>
      <c r="T486" s="13" t="str">
        <f>_xlfn.IFNA(VLOOKUP(Tabla3[[#This Row],[Que]],QUE[#All],2,0),"")</f>
        <v/>
      </c>
      <c r="U486" s="13" t="str">
        <f>_xlfn.IFNA(VLOOKUP(Tabla3[[#This Row],[Señal]],SEÑAL[#All],2,0),"")</f>
        <v/>
      </c>
      <c r="V486" s="13" t="str">
        <f>_xlfn.IFNA(VLOOKUP(Tabla3[[#This Row],[NUMERO]],SEÑAL[#All],2,0),"")</f>
        <v/>
      </c>
    </row>
    <row r="487" spans="1:22" x14ac:dyDescent="0.25">
      <c r="A487" s="26" t="s">
        <v>1275</v>
      </c>
      <c r="B487" s="2" t="s">
        <v>8</v>
      </c>
      <c r="C487" s="2" t="s">
        <v>89</v>
      </c>
      <c r="D487" s="2" t="s">
        <v>109</v>
      </c>
      <c r="E487" s="2" t="s">
        <v>1381</v>
      </c>
      <c r="J487"/>
      <c r="K487"/>
      <c r="L48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7" s="13" t="str">
        <f>VLOOKUP(Tabla3[[#This Row],[Tipo]],TIPO[#All],2,0)</f>
        <v>ET</v>
      </c>
      <c r="O487" s="13" t="str">
        <f>VLOOKUP(Tabla3[[#This Row],[Lugar]],LUGAR[#All],2,0)</f>
        <v>VMN</v>
      </c>
      <c r="P487" s="13" t="str">
        <f>Tabla3[[#This Row],[SIGLAS]]</f>
        <v>TR3</v>
      </c>
      <c r="Q487" s="13" t="str">
        <f>_xlfn.IFNA(VLOOKUP(Tabla3[[#This Row],[Nivel de tension]],NIVEL[#All],2,0),"")</f>
        <v/>
      </c>
      <c r="R487" s="13" t="str">
        <f>_xlfn.IFNA(VLOOKUP(Tabla3[[#This Row],[DISPOSITIVO]],DISPOSITIVO[],2,0),"")</f>
        <v/>
      </c>
      <c r="S487" s="13" t="str">
        <f>_xlfn.IFNA(VLOOKUP(Tabla3[[#This Row],[PROTECCION SECUNDARIA]],PROTECCION_SECUNDARIA[],2,0),"")</f>
        <v/>
      </c>
      <c r="T487" s="13" t="str">
        <f>_xlfn.IFNA(VLOOKUP(Tabla3[[#This Row],[Que]],QUE[#All],2,0),"")</f>
        <v/>
      </c>
      <c r="U487" s="13" t="str">
        <f>_xlfn.IFNA(VLOOKUP(Tabla3[[#This Row],[Señal]],SEÑAL[#All],2,0),"")</f>
        <v/>
      </c>
      <c r="V487" s="13" t="str">
        <f>_xlfn.IFNA(VLOOKUP(Tabla3[[#This Row],[NUMERO]],SEÑAL[#All],2,0),"")</f>
        <v/>
      </c>
    </row>
    <row r="488" spans="1:22" x14ac:dyDescent="0.25">
      <c r="A488" s="26" t="s">
        <v>1276</v>
      </c>
      <c r="B488" s="2" t="s">
        <v>8</v>
      </c>
      <c r="C488" s="2" t="s">
        <v>89</v>
      </c>
      <c r="D488" s="2" t="s">
        <v>109</v>
      </c>
      <c r="E488" s="2" t="s">
        <v>1381</v>
      </c>
      <c r="J488"/>
      <c r="K488"/>
      <c r="L48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8" s="13" t="str">
        <f>VLOOKUP(Tabla3[[#This Row],[Tipo]],TIPO[#All],2,0)</f>
        <v>ET</v>
      </c>
      <c r="O488" s="13" t="str">
        <f>VLOOKUP(Tabla3[[#This Row],[Lugar]],LUGAR[#All],2,0)</f>
        <v>VMN</v>
      </c>
      <c r="P488" s="13" t="str">
        <f>Tabla3[[#This Row],[SIGLAS]]</f>
        <v>TR3</v>
      </c>
      <c r="Q488" s="13" t="str">
        <f>_xlfn.IFNA(VLOOKUP(Tabla3[[#This Row],[Nivel de tension]],NIVEL[#All],2,0),"")</f>
        <v/>
      </c>
      <c r="R488" s="13" t="str">
        <f>_xlfn.IFNA(VLOOKUP(Tabla3[[#This Row],[DISPOSITIVO]],DISPOSITIVO[],2,0),"")</f>
        <v/>
      </c>
      <c r="S488" s="13" t="str">
        <f>_xlfn.IFNA(VLOOKUP(Tabla3[[#This Row],[PROTECCION SECUNDARIA]],PROTECCION_SECUNDARIA[],2,0),"")</f>
        <v/>
      </c>
      <c r="T488" s="13" t="str">
        <f>_xlfn.IFNA(VLOOKUP(Tabla3[[#This Row],[Que]],QUE[#All],2,0),"")</f>
        <v/>
      </c>
      <c r="U488" s="13" t="str">
        <f>_xlfn.IFNA(VLOOKUP(Tabla3[[#This Row],[Señal]],SEÑAL[#All],2,0),"")</f>
        <v/>
      </c>
      <c r="V488" s="13" t="str">
        <f>_xlfn.IFNA(VLOOKUP(Tabla3[[#This Row],[NUMERO]],SEÑAL[#All],2,0),"")</f>
        <v/>
      </c>
    </row>
    <row r="489" spans="1:22" x14ac:dyDescent="0.25">
      <c r="A489" s="26" t="s">
        <v>1277</v>
      </c>
      <c r="B489" s="2" t="s">
        <v>8</v>
      </c>
      <c r="C489" s="2" t="s">
        <v>89</v>
      </c>
      <c r="D489" s="2" t="s">
        <v>109</v>
      </c>
      <c r="E489" s="2" t="s">
        <v>1381</v>
      </c>
      <c r="J489"/>
      <c r="K489"/>
      <c r="L48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89" s="13" t="str">
        <f>VLOOKUP(Tabla3[[#This Row],[Tipo]],TIPO[#All],2,0)</f>
        <v>ET</v>
      </c>
      <c r="O489" s="13" t="str">
        <f>VLOOKUP(Tabla3[[#This Row],[Lugar]],LUGAR[#All],2,0)</f>
        <v>VMN</v>
      </c>
      <c r="P489" s="13" t="str">
        <f>Tabla3[[#This Row],[SIGLAS]]</f>
        <v>TR3</v>
      </c>
      <c r="Q489" s="13" t="str">
        <f>_xlfn.IFNA(VLOOKUP(Tabla3[[#This Row],[Nivel de tension]],NIVEL[#All],2,0),"")</f>
        <v/>
      </c>
      <c r="R489" s="13" t="str">
        <f>_xlfn.IFNA(VLOOKUP(Tabla3[[#This Row],[DISPOSITIVO]],DISPOSITIVO[],2,0),"")</f>
        <v/>
      </c>
      <c r="S489" s="13" t="str">
        <f>_xlfn.IFNA(VLOOKUP(Tabla3[[#This Row],[PROTECCION SECUNDARIA]],PROTECCION_SECUNDARIA[],2,0),"")</f>
        <v/>
      </c>
      <c r="T489" s="13" t="str">
        <f>_xlfn.IFNA(VLOOKUP(Tabla3[[#This Row],[Que]],QUE[#All],2,0),"")</f>
        <v/>
      </c>
      <c r="U489" s="13" t="str">
        <f>_xlfn.IFNA(VLOOKUP(Tabla3[[#This Row],[Señal]],SEÑAL[#All],2,0),"")</f>
        <v/>
      </c>
      <c r="V489" s="13" t="str">
        <f>_xlfn.IFNA(VLOOKUP(Tabla3[[#This Row],[NUMERO]],SEÑAL[#All],2,0),"")</f>
        <v/>
      </c>
    </row>
    <row r="490" spans="1:22" x14ac:dyDescent="0.25">
      <c r="A490" s="26" t="s">
        <v>1278</v>
      </c>
      <c r="B490" s="2" t="s">
        <v>8</v>
      </c>
      <c r="C490" s="2" t="s">
        <v>89</v>
      </c>
      <c r="D490" s="2" t="s">
        <v>109</v>
      </c>
      <c r="E490" s="2" t="s">
        <v>1381</v>
      </c>
      <c r="J490"/>
      <c r="K490"/>
      <c r="L49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0" s="13" t="str">
        <f>VLOOKUP(Tabla3[[#This Row],[Tipo]],TIPO[#All],2,0)</f>
        <v>ET</v>
      </c>
      <c r="O490" s="13" t="str">
        <f>VLOOKUP(Tabla3[[#This Row],[Lugar]],LUGAR[#All],2,0)</f>
        <v>VMN</v>
      </c>
      <c r="P490" s="13" t="str">
        <f>Tabla3[[#This Row],[SIGLAS]]</f>
        <v>TR3</v>
      </c>
      <c r="Q490" s="13" t="str">
        <f>_xlfn.IFNA(VLOOKUP(Tabla3[[#This Row],[Nivel de tension]],NIVEL[#All],2,0),"")</f>
        <v/>
      </c>
      <c r="R490" s="13" t="str">
        <f>_xlfn.IFNA(VLOOKUP(Tabla3[[#This Row],[DISPOSITIVO]],DISPOSITIVO[],2,0),"")</f>
        <v/>
      </c>
      <c r="S490" s="13" t="str">
        <f>_xlfn.IFNA(VLOOKUP(Tabla3[[#This Row],[PROTECCION SECUNDARIA]],PROTECCION_SECUNDARIA[],2,0),"")</f>
        <v/>
      </c>
      <c r="T490" s="13" t="str">
        <f>_xlfn.IFNA(VLOOKUP(Tabla3[[#This Row],[Que]],QUE[#All],2,0),"")</f>
        <v/>
      </c>
      <c r="U490" s="13" t="str">
        <f>_xlfn.IFNA(VLOOKUP(Tabla3[[#This Row],[Señal]],SEÑAL[#All],2,0),"")</f>
        <v/>
      </c>
      <c r="V490" s="13" t="str">
        <f>_xlfn.IFNA(VLOOKUP(Tabla3[[#This Row],[NUMERO]],SEÑAL[#All],2,0),"")</f>
        <v/>
      </c>
    </row>
    <row r="491" spans="1:22" x14ac:dyDescent="0.25">
      <c r="A491" s="26" t="s">
        <v>1279</v>
      </c>
      <c r="B491" s="2" t="s">
        <v>8</v>
      </c>
      <c r="C491" s="2" t="s">
        <v>89</v>
      </c>
      <c r="D491" s="2" t="s">
        <v>109</v>
      </c>
      <c r="E491" s="2" t="s">
        <v>1381</v>
      </c>
      <c r="J491"/>
      <c r="K491"/>
      <c r="L49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1" s="13" t="str">
        <f>VLOOKUP(Tabla3[[#This Row],[Tipo]],TIPO[#All],2,0)</f>
        <v>ET</v>
      </c>
      <c r="O491" s="13" t="str">
        <f>VLOOKUP(Tabla3[[#This Row],[Lugar]],LUGAR[#All],2,0)</f>
        <v>VMN</v>
      </c>
      <c r="P491" s="13" t="str">
        <f>Tabla3[[#This Row],[SIGLAS]]</f>
        <v>TR3</v>
      </c>
      <c r="Q491" s="13" t="str">
        <f>_xlfn.IFNA(VLOOKUP(Tabla3[[#This Row],[Nivel de tension]],NIVEL[#All],2,0),"")</f>
        <v/>
      </c>
      <c r="R491" s="13" t="str">
        <f>_xlfn.IFNA(VLOOKUP(Tabla3[[#This Row],[DISPOSITIVO]],DISPOSITIVO[],2,0),"")</f>
        <v/>
      </c>
      <c r="S491" s="13" t="str">
        <f>_xlfn.IFNA(VLOOKUP(Tabla3[[#This Row],[PROTECCION SECUNDARIA]],PROTECCION_SECUNDARIA[],2,0),"")</f>
        <v/>
      </c>
      <c r="T491" s="13" t="str">
        <f>_xlfn.IFNA(VLOOKUP(Tabla3[[#This Row],[Que]],QUE[#All],2,0),"")</f>
        <v/>
      </c>
      <c r="U491" s="13" t="str">
        <f>_xlfn.IFNA(VLOOKUP(Tabla3[[#This Row],[Señal]],SEÑAL[#All],2,0),"")</f>
        <v/>
      </c>
      <c r="V491" s="13" t="str">
        <f>_xlfn.IFNA(VLOOKUP(Tabla3[[#This Row],[NUMERO]],SEÑAL[#All],2,0),"")</f>
        <v/>
      </c>
    </row>
    <row r="492" spans="1:22" x14ac:dyDescent="0.25">
      <c r="A492" s="26" t="s">
        <v>1280</v>
      </c>
      <c r="B492" s="2" t="s">
        <v>8</v>
      </c>
      <c r="C492" s="2" t="s">
        <v>89</v>
      </c>
      <c r="D492" s="2" t="s">
        <v>109</v>
      </c>
      <c r="E492" s="2" t="s">
        <v>1381</v>
      </c>
      <c r="J492"/>
      <c r="K492"/>
      <c r="L49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2" s="13" t="str">
        <f>VLOOKUP(Tabla3[[#This Row],[Tipo]],TIPO[#All],2,0)</f>
        <v>ET</v>
      </c>
      <c r="O492" s="13" t="str">
        <f>VLOOKUP(Tabla3[[#This Row],[Lugar]],LUGAR[#All],2,0)</f>
        <v>VMN</v>
      </c>
      <c r="P492" s="13" t="str">
        <f>Tabla3[[#This Row],[SIGLAS]]</f>
        <v>TR3</v>
      </c>
      <c r="Q492" s="13" t="str">
        <f>_xlfn.IFNA(VLOOKUP(Tabla3[[#This Row],[Nivel de tension]],NIVEL[#All],2,0),"")</f>
        <v/>
      </c>
      <c r="R492" s="13" t="str">
        <f>_xlfn.IFNA(VLOOKUP(Tabla3[[#This Row],[DISPOSITIVO]],DISPOSITIVO[],2,0),"")</f>
        <v/>
      </c>
      <c r="S492" s="13" t="str">
        <f>_xlfn.IFNA(VLOOKUP(Tabla3[[#This Row],[PROTECCION SECUNDARIA]],PROTECCION_SECUNDARIA[],2,0),"")</f>
        <v/>
      </c>
      <c r="T492" s="13" t="str">
        <f>_xlfn.IFNA(VLOOKUP(Tabla3[[#This Row],[Que]],QUE[#All],2,0),"")</f>
        <v/>
      </c>
      <c r="U492" s="13" t="str">
        <f>_xlfn.IFNA(VLOOKUP(Tabla3[[#This Row],[Señal]],SEÑAL[#All],2,0),"")</f>
        <v/>
      </c>
      <c r="V492" s="13" t="str">
        <f>_xlfn.IFNA(VLOOKUP(Tabla3[[#This Row],[NUMERO]],SEÑAL[#All],2,0),"")</f>
        <v/>
      </c>
    </row>
    <row r="493" spans="1:22" x14ac:dyDescent="0.25">
      <c r="A493" s="26" t="s">
        <v>1281</v>
      </c>
      <c r="B493" s="2" t="s">
        <v>8</v>
      </c>
      <c r="C493" s="2" t="s">
        <v>89</v>
      </c>
      <c r="D493" s="2" t="s">
        <v>109</v>
      </c>
      <c r="E493" s="2" t="s">
        <v>1381</v>
      </c>
      <c r="J493"/>
      <c r="K493"/>
      <c r="L49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3" s="13" t="str">
        <f>VLOOKUP(Tabla3[[#This Row],[Tipo]],TIPO[#All],2,0)</f>
        <v>ET</v>
      </c>
      <c r="O493" s="13" t="str">
        <f>VLOOKUP(Tabla3[[#This Row],[Lugar]],LUGAR[#All],2,0)</f>
        <v>VMN</v>
      </c>
      <c r="P493" s="13" t="str">
        <f>Tabla3[[#This Row],[SIGLAS]]</f>
        <v>TR3</v>
      </c>
      <c r="Q493" s="13" t="str">
        <f>_xlfn.IFNA(VLOOKUP(Tabla3[[#This Row],[Nivel de tension]],NIVEL[#All],2,0),"")</f>
        <v/>
      </c>
      <c r="R493" s="13" t="str">
        <f>_xlfn.IFNA(VLOOKUP(Tabla3[[#This Row],[DISPOSITIVO]],DISPOSITIVO[],2,0),"")</f>
        <v/>
      </c>
      <c r="S493" s="13" t="str">
        <f>_xlfn.IFNA(VLOOKUP(Tabla3[[#This Row],[PROTECCION SECUNDARIA]],PROTECCION_SECUNDARIA[],2,0),"")</f>
        <v/>
      </c>
      <c r="T493" s="13" t="str">
        <f>_xlfn.IFNA(VLOOKUP(Tabla3[[#This Row],[Que]],QUE[#All],2,0),"")</f>
        <v/>
      </c>
      <c r="U493" s="13" t="str">
        <f>_xlfn.IFNA(VLOOKUP(Tabla3[[#This Row],[Señal]],SEÑAL[#All],2,0),"")</f>
        <v/>
      </c>
      <c r="V493" s="13" t="str">
        <f>_xlfn.IFNA(VLOOKUP(Tabla3[[#This Row],[NUMERO]],SEÑAL[#All],2,0),"")</f>
        <v/>
      </c>
    </row>
    <row r="494" spans="1:22" x14ac:dyDescent="0.25">
      <c r="A494" s="26" t="s">
        <v>1282</v>
      </c>
      <c r="B494" s="2" t="s">
        <v>8</v>
      </c>
      <c r="C494" s="2" t="s">
        <v>89</v>
      </c>
      <c r="D494" s="2" t="s">
        <v>109</v>
      </c>
      <c r="E494" s="2" t="s">
        <v>1381</v>
      </c>
      <c r="J494"/>
      <c r="K494"/>
      <c r="L49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4" s="13" t="str">
        <f>VLOOKUP(Tabla3[[#This Row],[Tipo]],TIPO[#All],2,0)</f>
        <v>ET</v>
      </c>
      <c r="O494" s="13" t="str">
        <f>VLOOKUP(Tabla3[[#This Row],[Lugar]],LUGAR[#All],2,0)</f>
        <v>VMN</v>
      </c>
      <c r="P494" s="13" t="str">
        <f>Tabla3[[#This Row],[SIGLAS]]</f>
        <v>TR3</v>
      </c>
      <c r="Q494" s="13" t="str">
        <f>_xlfn.IFNA(VLOOKUP(Tabla3[[#This Row],[Nivel de tension]],NIVEL[#All],2,0),"")</f>
        <v/>
      </c>
      <c r="R494" s="13" t="str">
        <f>_xlfn.IFNA(VLOOKUP(Tabla3[[#This Row],[DISPOSITIVO]],DISPOSITIVO[],2,0),"")</f>
        <v/>
      </c>
      <c r="S494" s="13" t="str">
        <f>_xlfn.IFNA(VLOOKUP(Tabla3[[#This Row],[PROTECCION SECUNDARIA]],PROTECCION_SECUNDARIA[],2,0),"")</f>
        <v/>
      </c>
      <c r="T494" s="13" t="str">
        <f>_xlfn.IFNA(VLOOKUP(Tabla3[[#This Row],[Que]],QUE[#All],2,0),"")</f>
        <v/>
      </c>
      <c r="U494" s="13" t="str">
        <f>_xlfn.IFNA(VLOOKUP(Tabla3[[#This Row],[Señal]],SEÑAL[#All],2,0),"")</f>
        <v/>
      </c>
      <c r="V494" s="13" t="str">
        <f>_xlfn.IFNA(VLOOKUP(Tabla3[[#This Row],[NUMERO]],SEÑAL[#All],2,0),"")</f>
        <v/>
      </c>
    </row>
    <row r="495" spans="1:22" x14ac:dyDescent="0.25">
      <c r="A495" s="26" t="s">
        <v>1283</v>
      </c>
      <c r="B495" s="2" t="s">
        <v>8</v>
      </c>
      <c r="C495" s="2" t="s">
        <v>89</v>
      </c>
      <c r="D495" s="2" t="s">
        <v>109</v>
      </c>
      <c r="E495" s="2" t="s">
        <v>1381</v>
      </c>
      <c r="J495"/>
      <c r="K495"/>
      <c r="L49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5" s="13" t="str">
        <f>VLOOKUP(Tabla3[[#This Row],[Tipo]],TIPO[#All],2,0)</f>
        <v>ET</v>
      </c>
      <c r="O495" s="13" t="str">
        <f>VLOOKUP(Tabla3[[#This Row],[Lugar]],LUGAR[#All],2,0)</f>
        <v>VMN</v>
      </c>
      <c r="P495" s="13" t="str">
        <f>Tabla3[[#This Row],[SIGLAS]]</f>
        <v>TR3</v>
      </c>
      <c r="Q495" s="13" t="str">
        <f>_xlfn.IFNA(VLOOKUP(Tabla3[[#This Row],[Nivel de tension]],NIVEL[#All],2,0),"")</f>
        <v/>
      </c>
      <c r="R495" s="13" t="str">
        <f>_xlfn.IFNA(VLOOKUP(Tabla3[[#This Row],[DISPOSITIVO]],DISPOSITIVO[],2,0),"")</f>
        <v/>
      </c>
      <c r="S495" s="13" t="str">
        <f>_xlfn.IFNA(VLOOKUP(Tabla3[[#This Row],[PROTECCION SECUNDARIA]],PROTECCION_SECUNDARIA[],2,0),"")</f>
        <v/>
      </c>
      <c r="T495" s="13" t="str">
        <f>_xlfn.IFNA(VLOOKUP(Tabla3[[#This Row],[Que]],QUE[#All],2,0),"")</f>
        <v/>
      </c>
      <c r="U495" s="13" t="str">
        <f>_xlfn.IFNA(VLOOKUP(Tabla3[[#This Row],[Señal]],SEÑAL[#All],2,0),"")</f>
        <v/>
      </c>
      <c r="V495" s="13" t="str">
        <f>_xlfn.IFNA(VLOOKUP(Tabla3[[#This Row],[NUMERO]],SEÑAL[#All],2,0),"")</f>
        <v/>
      </c>
    </row>
    <row r="496" spans="1:22" x14ac:dyDescent="0.25">
      <c r="A496" s="26" t="s">
        <v>1284</v>
      </c>
      <c r="B496" s="2" t="s">
        <v>8</v>
      </c>
      <c r="C496" s="2" t="s">
        <v>89</v>
      </c>
      <c r="D496" s="2" t="s">
        <v>109</v>
      </c>
      <c r="E496" s="2" t="s">
        <v>1381</v>
      </c>
      <c r="J496"/>
      <c r="K496"/>
      <c r="L49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6" s="13" t="str">
        <f>VLOOKUP(Tabla3[[#This Row],[Tipo]],TIPO[#All],2,0)</f>
        <v>ET</v>
      </c>
      <c r="O496" s="13" t="str">
        <f>VLOOKUP(Tabla3[[#This Row],[Lugar]],LUGAR[#All],2,0)</f>
        <v>VMN</v>
      </c>
      <c r="P496" s="13" t="str">
        <f>Tabla3[[#This Row],[SIGLAS]]</f>
        <v>TR3</v>
      </c>
      <c r="Q496" s="13" t="str">
        <f>_xlfn.IFNA(VLOOKUP(Tabla3[[#This Row],[Nivel de tension]],NIVEL[#All],2,0),"")</f>
        <v/>
      </c>
      <c r="R496" s="13" t="str">
        <f>_xlfn.IFNA(VLOOKUP(Tabla3[[#This Row],[DISPOSITIVO]],DISPOSITIVO[],2,0),"")</f>
        <v/>
      </c>
      <c r="S496" s="13" t="str">
        <f>_xlfn.IFNA(VLOOKUP(Tabla3[[#This Row],[PROTECCION SECUNDARIA]],PROTECCION_SECUNDARIA[],2,0),"")</f>
        <v/>
      </c>
      <c r="T496" s="13" t="str">
        <f>_xlfn.IFNA(VLOOKUP(Tabla3[[#This Row],[Que]],QUE[#All],2,0),"")</f>
        <v/>
      </c>
      <c r="U496" s="13" t="str">
        <f>_xlfn.IFNA(VLOOKUP(Tabla3[[#This Row],[Señal]],SEÑAL[#All],2,0),"")</f>
        <v/>
      </c>
      <c r="V496" s="13" t="str">
        <f>_xlfn.IFNA(VLOOKUP(Tabla3[[#This Row],[NUMERO]],SEÑAL[#All],2,0),"")</f>
        <v/>
      </c>
    </row>
    <row r="497" spans="1:22" x14ac:dyDescent="0.25">
      <c r="A497" s="26" t="s">
        <v>1285</v>
      </c>
      <c r="B497" s="2" t="s">
        <v>8</v>
      </c>
      <c r="C497" s="2" t="s">
        <v>89</v>
      </c>
      <c r="D497" s="2" t="s">
        <v>109</v>
      </c>
      <c r="E497" s="2" t="s">
        <v>1381</v>
      </c>
      <c r="J497"/>
      <c r="K497"/>
      <c r="L49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7" s="13" t="str">
        <f>VLOOKUP(Tabla3[[#This Row],[Tipo]],TIPO[#All],2,0)</f>
        <v>ET</v>
      </c>
      <c r="O497" s="13" t="str">
        <f>VLOOKUP(Tabla3[[#This Row],[Lugar]],LUGAR[#All],2,0)</f>
        <v>VMN</v>
      </c>
      <c r="P497" s="13" t="str">
        <f>Tabla3[[#This Row],[SIGLAS]]</f>
        <v>TR3</v>
      </c>
      <c r="Q497" s="13" t="str">
        <f>_xlfn.IFNA(VLOOKUP(Tabla3[[#This Row],[Nivel de tension]],NIVEL[#All],2,0),"")</f>
        <v/>
      </c>
      <c r="R497" s="13" t="str">
        <f>_xlfn.IFNA(VLOOKUP(Tabla3[[#This Row],[DISPOSITIVO]],DISPOSITIVO[],2,0),"")</f>
        <v/>
      </c>
      <c r="S497" s="13" t="str">
        <f>_xlfn.IFNA(VLOOKUP(Tabla3[[#This Row],[PROTECCION SECUNDARIA]],PROTECCION_SECUNDARIA[],2,0),"")</f>
        <v/>
      </c>
      <c r="T497" s="13" t="str">
        <f>_xlfn.IFNA(VLOOKUP(Tabla3[[#This Row],[Que]],QUE[#All],2,0),"")</f>
        <v/>
      </c>
      <c r="U497" s="13" t="str">
        <f>_xlfn.IFNA(VLOOKUP(Tabla3[[#This Row],[Señal]],SEÑAL[#All],2,0),"")</f>
        <v/>
      </c>
      <c r="V497" s="13" t="str">
        <f>_xlfn.IFNA(VLOOKUP(Tabla3[[#This Row],[NUMERO]],SEÑAL[#All],2,0),"")</f>
        <v/>
      </c>
    </row>
    <row r="498" spans="1:22" x14ac:dyDescent="0.25">
      <c r="A498" s="26" t="s">
        <v>1286</v>
      </c>
      <c r="B498" s="2" t="s">
        <v>8</v>
      </c>
      <c r="C498" s="2" t="s">
        <v>89</v>
      </c>
      <c r="D498" s="2" t="s">
        <v>109</v>
      </c>
      <c r="E498" s="2" t="s">
        <v>1381</v>
      </c>
      <c r="J498"/>
      <c r="K498"/>
      <c r="L49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8" s="13" t="str">
        <f>VLOOKUP(Tabla3[[#This Row],[Tipo]],TIPO[#All],2,0)</f>
        <v>ET</v>
      </c>
      <c r="O498" s="13" t="str">
        <f>VLOOKUP(Tabla3[[#This Row],[Lugar]],LUGAR[#All],2,0)</f>
        <v>VMN</v>
      </c>
      <c r="P498" s="13" t="str">
        <f>Tabla3[[#This Row],[SIGLAS]]</f>
        <v>TR3</v>
      </c>
      <c r="Q498" s="13" t="str">
        <f>_xlfn.IFNA(VLOOKUP(Tabla3[[#This Row],[Nivel de tension]],NIVEL[#All],2,0),"")</f>
        <v/>
      </c>
      <c r="R498" s="13" t="str">
        <f>_xlfn.IFNA(VLOOKUP(Tabla3[[#This Row],[DISPOSITIVO]],DISPOSITIVO[],2,0),"")</f>
        <v/>
      </c>
      <c r="S498" s="13" t="str">
        <f>_xlfn.IFNA(VLOOKUP(Tabla3[[#This Row],[PROTECCION SECUNDARIA]],PROTECCION_SECUNDARIA[],2,0),"")</f>
        <v/>
      </c>
      <c r="T498" s="13" t="str">
        <f>_xlfn.IFNA(VLOOKUP(Tabla3[[#This Row],[Que]],QUE[#All],2,0),"")</f>
        <v/>
      </c>
      <c r="U498" s="13" t="str">
        <f>_xlfn.IFNA(VLOOKUP(Tabla3[[#This Row],[Señal]],SEÑAL[#All],2,0),"")</f>
        <v/>
      </c>
      <c r="V498" s="13" t="str">
        <f>_xlfn.IFNA(VLOOKUP(Tabla3[[#This Row],[NUMERO]],SEÑAL[#All],2,0),"")</f>
        <v/>
      </c>
    </row>
    <row r="499" spans="1:22" x14ac:dyDescent="0.25">
      <c r="A499" s="26" t="s">
        <v>1287</v>
      </c>
      <c r="B499" s="2" t="s">
        <v>8</v>
      </c>
      <c r="C499" s="2" t="s">
        <v>89</v>
      </c>
      <c r="D499" s="2" t="s">
        <v>109</v>
      </c>
      <c r="E499" s="2" t="s">
        <v>1381</v>
      </c>
      <c r="J499"/>
      <c r="K499"/>
      <c r="L49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499" s="13" t="str">
        <f>VLOOKUP(Tabla3[[#This Row],[Tipo]],TIPO[#All],2,0)</f>
        <v>ET</v>
      </c>
      <c r="O499" s="13" t="str">
        <f>VLOOKUP(Tabla3[[#This Row],[Lugar]],LUGAR[#All],2,0)</f>
        <v>VMN</v>
      </c>
      <c r="P499" s="13" t="str">
        <f>Tabla3[[#This Row],[SIGLAS]]</f>
        <v>TR3</v>
      </c>
      <c r="Q499" s="13" t="str">
        <f>_xlfn.IFNA(VLOOKUP(Tabla3[[#This Row],[Nivel de tension]],NIVEL[#All],2,0),"")</f>
        <v/>
      </c>
      <c r="R499" s="13" t="str">
        <f>_xlfn.IFNA(VLOOKUP(Tabla3[[#This Row],[DISPOSITIVO]],DISPOSITIVO[],2,0),"")</f>
        <v/>
      </c>
      <c r="S499" s="13" t="str">
        <f>_xlfn.IFNA(VLOOKUP(Tabla3[[#This Row],[PROTECCION SECUNDARIA]],PROTECCION_SECUNDARIA[],2,0),"")</f>
        <v/>
      </c>
      <c r="T499" s="13" t="str">
        <f>_xlfn.IFNA(VLOOKUP(Tabla3[[#This Row],[Que]],QUE[#All],2,0),"")</f>
        <v/>
      </c>
      <c r="U499" s="13" t="str">
        <f>_xlfn.IFNA(VLOOKUP(Tabla3[[#This Row],[Señal]],SEÑAL[#All],2,0),"")</f>
        <v/>
      </c>
      <c r="V499" s="13" t="str">
        <f>_xlfn.IFNA(VLOOKUP(Tabla3[[#This Row],[NUMERO]],SEÑAL[#All],2,0),"")</f>
        <v/>
      </c>
    </row>
    <row r="500" spans="1:22" x14ac:dyDescent="0.25">
      <c r="A500" s="26" t="s">
        <v>1288</v>
      </c>
      <c r="B500" s="2" t="s">
        <v>8</v>
      </c>
      <c r="C500" s="2" t="s">
        <v>89</v>
      </c>
      <c r="D500" s="2" t="s">
        <v>109</v>
      </c>
      <c r="E500" s="2" t="s">
        <v>1381</v>
      </c>
      <c r="J500"/>
      <c r="K500"/>
      <c r="L50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0" s="13" t="str">
        <f>VLOOKUP(Tabla3[[#This Row],[Tipo]],TIPO[#All],2,0)</f>
        <v>ET</v>
      </c>
      <c r="O500" s="13" t="str">
        <f>VLOOKUP(Tabla3[[#This Row],[Lugar]],LUGAR[#All],2,0)</f>
        <v>VMN</v>
      </c>
      <c r="P500" s="13" t="str">
        <f>Tabla3[[#This Row],[SIGLAS]]</f>
        <v>TR3</v>
      </c>
      <c r="Q500" s="13" t="str">
        <f>_xlfn.IFNA(VLOOKUP(Tabla3[[#This Row],[Nivel de tension]],NIVEL[#All],2,0),"")</f>
        <v/>
      </c>
      <c r="R500" s="13" t="str">
        <f>_xlfn.IFNA(VLOOKUP(Tabla3[[#This Row],[DISPOSITIVO]],DISPOSITIVO[],2,0),"")</f>
        <v/>
      </c>
      <c r="S500" s="13" t="str">
        <f>_xlfn.IFNA(VLOOKUP(Tabla3[[#This Row],[PROTECCION SECUNDARIA]],PROTECCION_SECUNDARIA[],2,0),"")</f>
        <v/>
      </c>
      <c r="T500" s="13" t="str">
        <f>_xlfn.IFNA(VLOOKUP(Tabla3[[#This Row],[Que]],QUE[#All],2,0),"")</f>
        <v/>
      </c>
      <c r="U500" s="13" t="str">
        <f>_xlfn.IFNA(VLOOKUP(Tabla3[[#This Row],[Señal]],SEÑAL[#All],2,0),"")</f>
        <v/>
      </c>
      <c r="V500" s="13" t="str">
        <f>_xlfn.IFNA(VLOOKUP(Tabla3[[#This Row],[NUMERO]],SEÑAL[#All],2,0),"")</f>
        <v/>
      </c>
    </row>
    <row r="501" spans="1:22" x14ac:dyDescent="0.25">
      <c r="A501" s="26" t="s">
        <v>1289</v>
      </c>
      <c r="B501" s="2" t="s">
        <v>8</v>
      </c>
      <c r="C501" s="2" t="s">
        <v>89</v>
      </c>
      <c r="D501" s="2" t="s">
        <v>109</v>
      </c>
      <c r="E501" s="2" t="s">
        <v>1381</v>
      </c>
      <c r="J501"/>
      <c r="K501"/>
      <c r="L50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1" s="13" t="str">
        <f>VLOOKUP(Tabla3[[#This Row],[Tipo]],TIPO[#All],2,0)</f>
        <v>ET</v>
      </c>
      <c r="O501" s="13" t="str">
        <f>VLOOKUP(Tabla3[[#This Row],[Lugar]],LUGAR[#All],2,0)</f>
        <v>VMN</v>
      </c>
      <c r="P501" s="13" t="str">
        <f>Tabla3[[#This Row],[SIGLAS]]</f>
        <v>TR3</v>
      </c>
      <c r="Q501" s="13" t="str">
        <f>_xlfn.IFNA(VLOOKUP(Tabla3[[#This Row],[Nivel de tension]],NIVEL[#All],2,0),"")</f>
        <v/>
      </c>
      <c r="R501" s="13" t="str">
        <f>_xlfn.IFNA(VLOOKUP(Tabla3[[#This Row],[DISPOSITIVO]],DISPOSITIVO[],2,0),"")</f>
        <v/>
      </c>
      <c r="S501" s="13" t="str">
        <f>_xlfn.IFNA(VLOOKUP(Tabla3[[#This Row],[PROTECCION SECUNDARIA]],PROTECCION_SECUNDARIA[],2,0),"")</f>
        <v/>
      </c>
      <c r="T501" s="13" t="str">
        <f>_xlfn.IFNA(VLOOKUP(Tabla3[[#This Row],[Que]],QUE[#All],2,0),"")</f>
        <v/>
      </c>
      <c r="U501" s="13" t="str">
        <f>_xlfn.IFNA(VLOOKUP(Tabla3[[#This Row],[Señal]],SEÑAL[#All],2,0),"")</f>
        <v/>
      </c>
      <c r="V501" s="13" t="str">
        <f>_xlfn.IFNA(VLOOKUP(Tabla3[[#This Row],[NUMERO]],SEÑAL[#All],2,0),"")</f>
        <v/>
      </c>
    </row>
    <row r="502" spans="1:22" x14ac:dyDescent="0.25">
      <c r="A502" s="26" t="s">
        <v>1290</v>
      </c>
      <c r="B502" s="2" t="s">
        <v>8</v>
      </c>
      <c r="C502" s="2" t="s">
        <v>89</v>
      </c>
      <c r="D502" s="2" t="s">
        <v>109</v>
      </c>
      <c r="E502" s="2" t="s">
        <v>1381</v>
      </c>
      <c r="J502"/>
      <c r="K502"/>
      <c r="L50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2" s="13" t="str">
        <f>VLOOKUP(Tabla3[[#This Row],[Tipo]],TIPO[#All],2,0)</f>
        <v>ET</v>
      </c>
      <c r="O502" s="13" t="str">
        <f>VLOOKUP(Tabla3[[#This Row],[Lugar]],LUGAR[#All],2,0)</f>
        <v>VMN</v>
      </c>
      <c r="P502" s="13" t="str">
        <f>Tabla3[[#This Row],[SIGLAS]]</f>
        <v>TR3</v>
      </c>
      <c r="Q502" s="13" t="str">
        <f>_xlfn.IFNA(VLOOKUP(Tabla3[[#This Row],[Nivel de tension]],NIVEL[#All],2,0),"")</f>
        <v/>
      </c>
      <c r="R502" s="13" t="str">
        <f>_xlfn.IFNA(VLOOKUP(Tabla3[[#This Row],[DISPOSITIVO]],DISPOSITIVO[],2,0),"")</f>
        <v/>
      </c>
      <c r="S502" s="13" t="str">
        <f>_xlfn.IFNA(VLOOKUP(Tabla3[[#This Row],[PROTECCION SECUNDARIA]],PROTECCION_SECUNDARIA[],2,0),"")</f>
        <v/>
      </c>
      <c r="T502" s="13" t="str">
        <f>_xlfn.IFNA(VLOOKUP(Tabla3[[#This Row],[Que]],QUE[#All],2,0),"")</f>
        <v/>
      </c>
      <c r="U502" s="13" t="str">
        <f>_xlfn.IFNA(VLOOKUP(Tabla3[[#This Row],[Señal]],SEÑAL[#All],2,0),"")</f>
        <v/>
      </c>
      <c r="V502" s="13" t="str">
        <f>_xlfn.IFNA(VLOOKUP(Tabla3[[#This Row],[NUMERO]],SEÑAL[#All],2,0),"")</f>
        <v/>
      </c>
    </row>
    <row r="503" spans="1:22" x14ac:dyDescent="0.25">
      <c r="A503" s="26" t="s">
        <v>1291</v>
      </c>
      <c r="B503" s="2" t="s">
        <v>8</v>
      </c>
      <c r="C503" s="2" t="s">
        <v>89</v>
      </c>
      <c r="D503" s="2" t="s">
        <v>109</v>
      </c>
      <c r="E503" s="2" t="s">
        <v>1381</v>
      </c>
      <c r="J503"/>
      <c r="K503"/>
      <c r="L50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3" s="13" t="str">
        <f>VLOOKUP(Tabla3[[#This Row],[Tipo]],TIPO[#All],2,0)</f>
        <v>ET</v>
      </c>
      <c r="O503" s="13" t="str">
        <f>VLOOKUP(Tabla3[[#This Row],[Lugar]],LUGAR[#All],2,0)</f>
        <v>VMN</v>
      </c>
      <c r="P503" s="13" t="str">
        <f>Tabla3[[#This Row],[SIGLAS]]</f>
        <v>TR3</v>
      </c>
      <c r="Q503" s="13" t="str">
        <f>_xlfn.IFNA(VLOOKUP(Tabla3[[#This Row],[Nivel de tension]],NIVEL[#All],2,0),"")</f>
        <v/>
      </c>
      <c r="R503" s="13" t="str">
        <f>_xlfn.IFNA(VLOOKUP(Tabla3[[#This Row],[DISPOSITIVO]],DISPOSITIVO[],2,0),"")</f>
        <v/>
      </c>
      <c r="S503" s="13" t="str">
        <f>_xlfn.IFNA(VLOOKUP(Tabla3[[#This Row],[PROTECCION SECUNDARIA]],PROTECCION_SECUNDARIA[],2,0),"")</f>
        <v/>
      </c>
      <c r="T503" s="13" t="str">
        <f>_xlfn.IFNA(VLOOKUP(Tabla3[[#This Row],[Que]],QUE[#All],2,0),"")</f>
        <v/>
      </c>
      <c r="U503" s="13" t="str">
        <f>_xlfn.IFNA(VLOOKUP(Tabla3[[#This Row],[Señal]],SEÑAL[#All],2,0),"")</f>
        <v/>
      </c>
      <c r="V503" s="13" t="str">
        <f>_xlfn.IFNA(VLOOKUP(Tabla3[[#This Row],[NUMERO]],SEÑAL[#All],2,0),"")</f>
        <v/>
      </c>
    </row>
    <row r="504" spans="1:22" x14ac:dyDescent="0.25">
      <c r="A504" s="26" t="s">
        <v>1292</v>
      </c>
      <c r="B504" s="2" t="s">
        <v>8</v>
      </c>
      <c r="C504" s="2" t="s">
        <v>89</v>
      </c>
      <c r="D504" s="2" t="s">
        <v>109</v>
      </c>
      <c r="E504" s="2" t="s">
        <v>1381</v>
      </c>
      <c r="J504"/>
      <c r="K504"/>
      <c r="L50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4" s="13" t="str">
        <f>VLOOKUP(Tabla3[[#This Row],[Tipo]],TIPO[#All],2,0)</f>
        <v>ET</v>
      </c>
      <c r="O504" s="13" t="str">
        <f>VLOOKUP(Tabla3[[#This Row],[Lugar]],LUGAR[#All],2,0)</f>
        <v>VMN</v>
      </c>
      <c r="P504" s="13" t="str">
        <f>Tabla3[[#This Row],[SIGLAS]]</f>
        <v>TR3</v>
      </c>
      <c r="Q504" s="13" t="str">
        <f>_xlfn.IFNA(VLOOKUP(Tabla3[[#This Row],[Nivel de tension]],NIVEL[#All],2,0),"")</f>
        <v/>
      </c>
      <c r="R504" s="13" t="str">
        <f>_xlfn.IFNA(VLOOKUP(Tabla3[[#This Row],[DISPOSITIVO]],DISPOSITIVO[],2,0),"")</f>
        <v/>
      </c>
      <c r="S504" s="13" t="str">
        <f>_xlfn.IFNA(VLOOKUP(Tabla3[[#This Row],[PROTECCION SECUNDARIA]],PROTECCION_SECUNDARIA[],2,0),"")</f>
        <v/>
      </c>
      <c r="T504" s="13" t="str">
        <f>_xlfn.IFNA(VLOOKUP(Tabla3[[#This Row],[Que]],QUE[#All],2,0),"")</f>
        <v/>
      </c>
      <c r="U504" s="13" t="str">
        <f>_xlfn.IFNA(VLOOKUP(Tabla3[[#This Row],[Señal]],SEÑAL[#All],2,0),"")</f>
        <v/>
      </c>
      <c r="V504" s="13" t="str">
        <f>_xlfn.IFNA(VLOOKUP(Tabla3[[#This Row],[NUMERO]],SEÑAL[#All],2,0),"")</f>
        <v/>
      </c>
    </row>
    <row r="505" spans="1:22" x14ac:dyDescent="0.25">
      <c r="A505" s="26" t="s">
        <v>1293</v>
      </c>
      <c r="B505" s="2" t="s">
        <v>8</v>
      </c>
      <c r="C505" s="2" t="s">
        <v>89</v>
      </c>
      <c r="D505" s="2" t="s">
        <v>109</v>
      </c>
      <c r="E505" s="2" t="s">
        <v>1381</v>
      </c>
      <c r="J505"/>
      <c r="K505"/>
      <c r="L50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5" s="13" t="str">
        <f>VLOOKUP(Tabla3[[#This Row],[Tipo]],TIPO[#All],2,0)</f>
        <v>ET</v>
      </c>
      <c r="O505" s="13" t="str">
        <f>VLOOKUP(Tabla3[[#This Row],[Lugar]],LUGAR[#All],2,0)</f>
        <v>VMN</v>
      </c>
      <c r="P505" s="13" t="str">
        <f>Tabla3[[#This Row],[SIGLAS]]</f>
        <v>TR3</v>
      </c>
      <c r="Q505" s="13" t="str">
        <f>_xlfn.IFNA(VLOOKUP(Tabla3[[#This Row],[Nivel de tension]],NIVEL[#All],2,0),"")</f>
        <v/>
      </c>
      <c r="R505" s="13" t="str">
        <f>_xlfn.IFNA(VLOOKUP(Tabla3[[#This Row],[DISPOSITIVO]],DISPOSITIVO[],2,0),"")</f>
        <v/>
      </c>
      <c r="S505" s="13" t="str">
        <f>_xlfn.IFNA(VLOOKUP(Tabla3[[#This Row],[PROTECCION SECUNDARIA]],PROTECCION_SECUNDARIA[],2,0),"")</f>
        <v/>
      </c>
      <c r="T505" s="13" t="str">
        <f>_xlfn.IFNA(VLOOKUP(Tabla3[[#This Row],[Que]],QUE[#All],2,0),"")</f>
        <v/>
      </c>
      <c r="U505" s="13" t="str">
        <f>_xlfn.IFNA(VLOOKUP(Tabla3[[#This Row],[Señal]],SEÑAL[#All],2,0),"")</f>
        <v/>
      </c>
      <c r="V505" s="13" t="str">
        <f>_xlfn.IFNA(VLOOKUP(Tabla3[[#This Row],[NUMERO]],SEÑAL[#All],2,0),"")</f>
        <v/>
      </c>
    </row>
    <row r="506" spans="1:22" x14ac:dyDescent="0.25">
      <c r="A506" s="26" t="s">
        <v>1294</v>
      </c>
      <c r="B506" s="2" t="s">
        <v>8</v>
      </c>
      <c r="C506" s="2" t="s">
        <v>89</v>
      </c>
      <c r="D506" s="2" t="s">
        <v>109</v>
      </c>
      <c r="E506" s="2" t="s">
        <v>1381</v>
      </c>
      <c r="J506"/>
      <c r="K506"/>
      <c r="L50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6" s="13" t="str">
        <f>VLOOKUP(Tabla3[[#This Row],[Tipo]],TIPO[#All],2,0)</f>
        <v>ET</v>
      </c>
      <c r="O506" s="13" t="str">
        <f>VLOOKUP(Tabla3[[#This Row],[Lugar]],LUGAR[#All],2,0)</f>
        <v>VMN</v>
      </c>
      <c r="P506" s="13" t="str">
        <f>Tabla3[[#This Row],[SIGLAS]]</f>
        <v>TR3</v>
      </c>
      <c r="Q506" s="13" t="str">
        <f>_xlfn.IFNA(VLOOKUP(Tabla3[[#This Row],[Nivel de tension]],NIVEL[#All],2,0),"")</f>
        <v/>
      </c>
      <c r="R506" s="13" t="str">
        <f>_xlfn.IFNA(VLOOKUP(Tabla3[[#This Row],[DISPOSITIVO]],DISPOSITIVO[],2,0),"")</f>
        <v/>
      </c>
      <c r="S506" s="13" t="str">
        <f>_xlfn.IFNA(VLOOKUP(Tabla3[[#This Row],[PROTECCION SECUNDARIA]],PROTECCION_SECUNDARIA[],2,0),"")</f>
        <v/>
      </c>
      <c r="T506" s="13" t="str">
        <f>_xlfn.IFNA(VLOOKUP(Tabla3[[#This Row],[Que]],QUE[#All],2,0),"")</f>
        <v/>
      </c>
      <c r="U506" s="13" t="str">
        <f>_xlfn.IFNA(VLOOKUP(Tabla3[[#This Row],[Señal]],SEÑAL[#All],2,0),"")</f>
        <v/>
      </c>
      <c r="V506" s="13" t="str">
        <f>_xlfn.IFNA(VLOOKUP(Tabla3[[#This Row],[NUMERO]],SEÑAL[#All],2,0),"")</f>
        <v/>
      </c>
    </row>
    <row r="507" spans="1:22" x14ac:dyDescent="0.25">
      <c r="A507" s="26" t="s">
        <v>1295</v>
      </c>
      <c r="B507" s="2" t="s">
        <v>8</v>
      </c>
      <c r="C507" s="2" t="s">
        <v>89</v>
      </c>
      <c r="D507" s="2" t="s">
        <v>109</v>
      </c>
      <c r="E507" s="2" t="s">
        <v>1381</v>
      </c>
      <c r="J507"/>
      <c r="K507"/>
      <c r="L50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7" s="13" t="str">
        <f>VLOOKUP(Tabla3[[#This Row],[Tipo]],TIPO[#All],2,0)</f>
        <v>ET</v>
      </c>
      <c r="O507" s="13" t="str">
        <f>VLOOKUP(Tabla3[[#This Row],[Lugar]],LUGAR[#All],2,0)</f>
        <v>VMN</v>
      </c>
      <c r="P507" s="13" t="str">
        <f>Tabla3[[#This Row],[SIGLAS]]</f>
        <v>TR3</v>
      </c>
      <c r="Q507" s="13" t="str">
        <f>_xlfn.IFNA(VLOOKUP(Tabla3[[#This Row],[Nivel de tension]],NIVEL[#All],2,0),"")</f>
        <v/>
      </c>
      <c r="R507" s="13" t="str">
        <f>_xlfn.IFNA(VLOOKUP(Tabla3[[#This Row],[DISPOSITIVO]],DISPOSITIVO[],2,0),"")</f>
        <v/>
      </c>
      <c r="S507" s="13" t="str">
        <f>_xlfn.IFNA(VLOOKUP(Tabla3[[#This Row],[PROTECCION SECUNDARIA]],PROTECCION_SECUNDARIA[],2,0),"")</f>
        <v/>
      </c>
      <c r="T507" s="13" t="str">
        <f>_xlfn.IFNA(VLOOKUP(Tabla3[[#This Row],[Que]],QUE[#All],2,0),"")</f>
        <v/>
      </c>
      <c r="U507" s="13" t="str">
        <f>_xlfn.IFNA(VLOOKUP(Tabla3[[#This Row],[Señal]],SEÑAL[#All],2,0),"")</f>
        <v/>
      </c>
      <c r="V507" s="13" t="str">
        <f>_xlfn.IFNA(VLOOKUP(Tabla3[[#This Row],[NUMERO]],SEÑAL[#All],2,0),"")</f>
        <v/>
      </c>
    </row>
    <row r="508" spans="1:22" x14ac:dyDescent="0.25">
      <c r="A508" s="26" t="s">
        <v>1296</v>
      </c>
      <c r="B508" s="2" t="s">
        <v>8</v>
      </c>
      <c r="C508" s="2" t="s">
        <v>89</v>
      </c>
      <c r="D508" s="2" t="s">
        <v>109</v>
      </c>
      <c r="E508" s="2" t="s">
        <v>1381</v>
      </c>
      <c r="J508"/>
      <c r="K508"/>
      <c r="L50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8" s="13" t="str">
        <f>VLOOKUP(Tabla3[[#This Row],[Tipo]],TIPO[#All],2,0)</f>
        <v>ET</v>
      </c>
      <c r="O508" s="13" t="str">
        <f>VLOOKUP(Tabla3[[#This Row],[Lugar]],LUGAR[#All],2,0)</f>
        <v>VMN</v>
      </c>
      <c r="P508" s="13" t="str">
        <f>Tabla3[[#This Row],[SIGLAS]]</f>
        <v>TR3</v>
      </c>
      <c r="Q508" s="13" t="str">
        <f>_xlfn.IFNA(VLOOKUP(Tabla3[[#This Row],[Nivel de tension]],NIVEL[#All],2,0),"")</f>
        <v/>
      </c>
      <c r="R508" s="13" t="str">
        <f>_xlfn.IFNA(VLOOKUP(Tabla3[[#This Row],[DISPOSITIVO]],DISPOSITIVO[],2,0),"")</f>
        <v/>
      </c>
      <c r="S508" s="13" t="str">
        <f>_xlfn.IFNA(VLOOKUP(Tabla3[[#This Row],[PROTECCION SECUNDARIA]],PROTECCION_SECUNDARIA[],2,0),"")</f>
        <v/>
      </c>
      <c r="T508" s="13" t="str">
        <f>_xlfn.IFNA(VLOOKUP(Tabla3[[#This Row],[Que]],QUE[#All],2,0),"")</f>
        <v/>
      </c>
      <c r="U508" s="13" t="str">
        <f>_xlfn.IFNA(VLOOKUP(Tabla3[[#This Row],[Señal]],SEÑAL[#All],2,0),"")</f>
        <v/>
      </c>
      <c r="V508" s="13" t="str">
        <f>_xlfn.IFNA(VLOOKUP(Tabla3[[#This Row],[NUMERO]],SEÑAL[#All],2,0),"")</f>
        <v/>
      </c>
    </row>
    <row r="509" spans="1:22" x14ac:dyDescent="0.25">
      <c r="A509" s="26" t="s">
        <v>1297</v>
      </c>
      <c r="B509" s="2" t="s">
        <v>8</v>
      </c>
      <c r="C509" s="2" t="s">
        <v>89</v>
      </c>
      <c r="D509" s="2" t="s">
        <v>109</v>
      </c>
      <c r="E509" s="2" t="s">
        <v>1381</v>
      </c>
      <c r="J509"/>
      <c r="K509"/>
      <c r="L50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09" s="13" t="str">
        <f>VLOOKUP(Tabla3[[#This Row],[Tipo]],TIPO[#All],2,0)</f>
        <v>ET</v>
      </c>
      <c r="O509" s="13" t="str">
        <f>VLOOKUP(Tabla3[[#This Row],[Lugar]],LUGAR[#All],2,0)</f>
        <v>VMN</v>
      </c>
      <c r="P509" s="13" t="str">
        <f>Tabla3[[#This Row],[SIGLAS]]</f>
        <v>TR3</v>
      </c>
      <c r="Q509" s="13" t="str">
        <f>_xlfn.IFNA(VLOOKUP(Tabla3[[#This Row],[Nivel de tension]],NIVEL[#All],2,0),"")</f>
        <v/>
      </c>
      <c r="R509" s="13" t="str">
        <f>_xlfn.IFNA(VLOOKUP(Tabla3[[#This Row],[DISPOSITIVO]],DISPOSITIVO[],2,0),"")</f>
        <v/>
      </c>
      <c r="S509" s="13" t="str">
        <f>_xlfn.IFNA(VLOOKUP(Tabla3[[#This Row],[PROTECCION SECUNDARIA]],PROTECCION_SECUNDARIA[],2,0),"")</f>
        <v/>
      </c>
      <c r="T509" s="13" t="str">
        <f>_xlfn.IFNA(VLOOKUP(Tabla3[[#This Row],[Que]],QUE[#All],2,0),"")</f>
        <v/>
      </c>
      <c r="U509" s="13" t="str">
        <f>_xlfn.IFNA(VLOOKUP(Tabla3[[#This Row],[Señal]],SEÑAL[#All],2,0),"")</f>
        <v/>
      </c>
      <c r="V509" s="13" t="str">
        <f>_xlfn.IFNA(VLOOKUP(Tabla3[[#This Row],[NUMERO]],SEÑAL[#All],2,0),"")</f>
        <v/>
      </c>
    </row>
    <row r="510" spans="1:22" x14ac:dyDescent="0.25">
      <c r="A510" s="26" t="s">
        <v>1298</v>
      </c>
      <c r="B510" s="2" t="s">
        <v>8</v>
      </c>
      <c r="C510" s="2" t="s">
        <v>89</v>
      </c>
      <c r="D510" s="2" t="s">
        <v>109</v>
      </c>
      <c r="E510" s="2" t="s">
        <v>1381</v>
      </c>
      <c r="J510"/>
      <c r="K510"/>
      <c r="L51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0" s="13" t="str">
        <f>VLOOKUP(Tabla3[[#This Row],[Tipo]],TIPO[#All],2,0)</f>
        <v>ET</v>
      </c>
      <c r="O510" s="13" t="str">
        <f>VLOOKUP(Tabla3[[#This Row],[Lugar]],LUGAR[#All],2,0)</f>
        <v>VMN</v>
      </c>
      <c r="P510" s="13" t="str">
        <f>Tabla3[[#This Row],[SIGLAS]]</f>
        <v>TR3</v>
      </c>
      <c r="Q510" s="13" t="str">
        <f>_xlfn.IFNA(VLOOKUP(Tabla3[[#This Row],[Nivel de tension]],NIVEL[#All],2,0),"")</f>
        <v/>
      </c>
      <c r="R510" s="13" t="str">
        <f>_xlfn.IFNA(VLOOKUP(Tabla3[[#This Row],[DISPOSITIVO]],DISPOSITIVO[],2,0),"")</f>
        <v/>
      </c>
      <c r="S510" s="13" t="str">
        <f>_xlfn.IFNA(VLOOKUP(Tabla3[[#This Row],[PROTECCION SECUNDARIA]],PROTECCION_SECUNDARIA[],2,0),"")</f>
        <v/>
      </c>
      <c r="T510" s="13" t="str">
        <f>_xlfn.IFNA(VLOOKUP(Tabla3[[#This Row],[Que]],QUE[#All],2,0),"")</f>
        <v/>
      </c>
      <c r="U510" s="13" t="str">
        <f>_xlfn.IFNA(VLOOKUP(Tabla3[[#This Row],[Señal]],SEÑAL[#All],2,0),"")</f>
        <v/>
      </c>
      <c r="V510" s="13" t="str">
        <f>_xlfn.IFNA(VLOOKUP(Tabla3[[#This Row],[NUMERO]],SEÑAL[#All],2,0),"")</f>
        <v/>
      </c>
    </row>
    <row r="511" spans="1:22" x14ac:dyDescent="0.25">
      <c r="A511" s="26" t="s">
        <v>1299</v>
      </c>
      <c r="B511" s="2" t="s">
        <v>8</v>
      </c>
      <c r="C511" s="2" t="s">
        <v>89</v>
      </c>
      <c r="D511" s="2" t="s">
        <v>109</v>
      </c>
      <c r="E511" s="2" t="s">
        <v>1381</v>
      </c>
      <c r="J511"/>
      <c r="K511"/>
      <c r="L51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1" s="13" t="str">
        <f>VLOOKUP(Tabla3[[#This Row],[Tipo]],TIPO[#All],2,0)</f>
        <v>ET</v>
      </c>
      <c r="O511" s="13" t="str">
        <f>VLOOKUP(Tabla3[[#This Row],[Lugar]],LUGAR[#All],2,0)</f>
        <v>VMN</v>
      </c>
      <c r="P511" s="13" t="str">
        <f>Tabla3[[#This Row],[SIGLAS]]</f>
        <v>TR3</v>
      </c>
      <c r="Q511" s="13" t="str">
        <f>_xlfn.IFNA(VLOOKUP(Tabla3[[#This Row],[Nivel de tension]],NIVEL[#All],2,0),"")</f>
        <v/>
      </c>
      <c r="R511" s="13" t="str">
        <f>_xlfn.IFNA(VLOOKUP(Tabla3[[#This Row],[DISPOSITIVO]],DISPOSITIVO[],2,0),"")</f>
        <v/>
      </c>
      <c r="S511" s="13" t="str">
        <f>_xlfn.IFNA(VLOOKUP(Tabla3[[#This Row],[PROTECCION SECUNDARIA]],PROTECCION_SECUNDARIA[],2,0),"")</f>
        <v/>
      </c>
      <c r="T511" s="13" t="str">
        <f>_xlfn.IFNA(VLOOKUP(Tabla3[[#This Row],[Que]],QUE[#All],2,0),"")</f>
        <v/>
      </c>
      <c r="U511" s="13" t="str">
        <f>_xlfn.IFNA(VLOOKUP(Tabla3[[#This Row],[Señal]],SEÑAL[#All],2,0),"")</f>
        <v/>
      </c>
      <c r="V511" s="13" t="str">
        <f>_xlfn.IFNA(VLOOKUP(Tabla3[[#This Row],[NUMERO]],SEÑAL[#All],2,0),"")</f>
        <v/>
      </c>
    </row>
    <row r="512" spans="1:22" x14ac:dyDescent="0.25">
      <c r="A512" s="26" t="s">
        <v>1300</v>
      </c>
      <c r="B512" s="2" t="s">
        <v>8</v>
      </c>
      <c r="C512" s="2" t="s">
        <v>89</v>
      </c>
      <c r="D512" s="2" t="s">
        <v>109</v>
      </c>
      <c r="E512" s="2" t="s">
        <v>1381</v>
      </c>
      <c r="J512"/>
      <c r="K512"/>
      <c r="L51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2" s="13" t="str">
        <f>VLOOKUP(Tabla3[[#This Row],[Tipo]],TIPO[#All],2,0)</f>
        <v>ET</v>
      </c>
      <c r="O512" s="13" t="str">
        <f>VLOOKUP(Tabla3[[#This Row],[Lugar]],LUGAR[#All],2,0)</f>
        <v>VMN</v>
      </c>
      <c r="P512" s="13" t="str">
        <f>Tabla3[[#This Row],[SIGLAS]]</f>
        <v>TR3</v>
      </c>
      <c r="Q512" s="13" t="str">
        <f>_xlfn.IFNA(VLOOKUP(Tabla3[[#This Row],[Nivel de tension]],NIVEL[#All],2,0),"")</f>
        <v/>
      </c>
      <c r="R512" s="13" t="str">
        <f>_xlfn.IFNA(VLOOKUP(Tabla3[[#This Row],[DISPOSITIVO]],DISPOSITIVO[],2,0),"")</f>
        <v/>
      </c>
      <c r="S512" s="13" t="str">
        <f>_xlfn.IFNA(VLOOKUP(Tabla3[[#This Row],[PROTECCION SECUNDARIA]],PROTECCION_SECUNDARIA[],2,0),"")</f>
        <v/>
      </c>
      <c r="T512" s="13" t="str">
        <f>_xlfn.IFNA(VLOOKUP(Tabla3[[#This Row],[Que]],QUE[#All],2,0),"")</f>
        <v/>
      </c>
      <c r="U512" s="13" t="str">
        <f>_xlfn.IFNA(VLOOKUP(Tabla3[[#This Row],[Señal]],SEÑAL[#All],2,0),"")</f>
        <v/>
      </c>
      <c r="V512" s="13" t="str">
        <f>_xlfn.IFNA(VLOOKUP(Tabla3[[#This Row],[NUMERO]],SEÑAL[#All],2,0),"")</f>
        <v/>
      </c>
    </row>
    <row r="513" spans="1:22" x14ac:dyDescent="0.25">
      <c r="A513" s="26" t="s">
        <v>1301</v>
      </c>
      <c r="B513" s="2" t="s">
        <v>8</v>
      </c>
      <c r="C513" s="2" t="s">
        <v>89</v>
      </c>
      <c r="D513" s="2" t="s">
        <v>109</v>
      </c>
      <c r="E513" s="2" t="s">
        <v>1381</v>
      </c>
      <c r="J513"/>
      <c r="K513"/>
      <c r="L51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3" s="13" t="str">
        <f>VLOOKUP(Tabla3[[#This Row],[Tipo]],TIPO[#All],2,0)</f>
        <v>ET</v>
      </c>
      <c r="O513" s="13" t="str">
        <f>VLOOKUP(Tabla3[[#This Row],[Lugar]],LUGAR[#All],2,0)</f>
        <v>VMN</v>
      </c>
      <c r="P513" s="13" t="str">
        <f>Tabla3[[#This Row],[SIGLAS]]</f>
        <v>TR3</v>
      </c>
      <c r="Q513" s="13" t="str">
        <f>_xlfn.IFNA(VLOOKUP(Tabla3[[#This Row],[Nivel de tension]],NIVEL[#All],2,0),"")</f>
        <v/>
      </c>
      <c r="R513" s="13" t="str">
        <f>_xlfn.IFNA(VLOOKUP(Tabla3[[#This Row],[DISPOSITIVO]],DISPOSITIVO[],2,0),"")</f>
        <v/>
      </c>
      <c r="S513" s="13" t="str">
        <f>_xlfn.IFNA(VLOOKUP(Tabla3[[#This Row],[PROTECCION SECUNDARIA]],PROTECCION_SECUNDARIA[],2,0),"")</f>
        <v/>
      </c>
      <c r="T513" s="13" t="str">
        <f>_xlfn.IFNA(VLOOKUP(Tabla3[[#This Row],[Que]],QUE[#All],2,0),"")</f>
        <v/>
      </c>
      <c r="U513" s="13" t="str">
        <f>_xlfn.IFNA(VLOOKUP(Tabla3[[#This Row],[Señal]],SEÑAL[#All],2,0),"")</f>
        <v/>
      </c>
      <c r="V513" s="13" t="str">
        <f>_xlfn.IFNA(VLOOKUP(Tabla3[[#This Row],[NUMERO]],SEÑAL[#All],2,0),"")</f>
        <v/>
      </c>
    </row>
    <row r="514" spans="1:22" x14ac:dyDescent="0.25">
      <c r="A514" s="26" t="s">
        <v>1302</v>
      </c>
      <c r="B514" s="2" t="s">
        <v>8</v>
      </c>
      <c r="C514" s="2" t="s">
        <v>89</v>
      </c>
      <c r="D514" s="2" t="s">
        <v>109</v>
      </c>
      <c r="E514" s="2" t="s">
        <v>1381</v>
      </c>
      <c r="J514"/>
      <c r="K514"/>
      <c r="L51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4" s="13" t="str">
        <f>VLOOKUP(Tabla3[[#This Row],[Tipo]],TIPO[#All],2,0)</f>
        <v>ET</v>
      </c>
      <c r="O514" s="13" t="str">
        <f>VLOOKUP(Tabla3[[#This Row],[Lugar]],LUGAR[#All],2,0)</f>
        <v>VMN</v>
      </c>
      <c r="P514" s="13" t="str">
        <f>Tabla3[[#This Row],[SIGLAS]]</f>
        <v>TR3</v>
      </c>
      <c r="Q514" s="13" t="str">
        <f>_xlfn.IFNA(VLOOKUP(Tabla3[[#This Row],[Nivel de tension]],NIVEL[#All],2,0),"")</f>
        <v/>
      </c>
      <c r="R514" s="13" t="str">
        <f>_xlfn.IFNA(VLOOKUP(Tabla3[[#This Row],[DISPOSITIVO]],DISPOSITIVO[],2,0),"")</f>
        <v/>
      </c>
      <c r="S514" s="13" t="str">
        <f>_xlfn.IFNA(VLOOKUP(Tabla3[[#This Row],[PROTECCION SECUNDARIA]],PROTECCION_SECUNDARIA[],2,0),"")</f>
        <v/>
      </c>
      <c r="T514" s="13" t="str">
        <f>_xlfn.IFNA(VLOOKUP(Tabla3[[#This Row],[Que]],QUE[#All],2,0),"")</f>
        <v/>
      </c>
      <c r="U514" s="13" t="str">
        <f>_xlfn.IFNA(VLOOKUP(Tabla3[[#This Row],[Señal]],SEÑAL[#All],2,0),"")</f>
        <v/>
      </c>
      <c r="V514" s="13" t="str">
        <f>_xlfn.IFNA(VLOOKUP(Tabla3[[#This Row],[NUMERO]],SEÑAL[#All],2,0),"")</f>
        <v/>
      </c>
    </row>
    <row r="515" spans="1:22" x14ac:dyDescent="0.25">
      <c r="A515" s="26" t="s">
        <v>1303</v>
      </c>
      <c r="B515" s="2" t="s">
        <v>8</v>
      </c>
      <c r="C515" s="2" t="s">
        <v>89</v>
      </c>
      <c r="D515" s="2" t="s">
        <v>109</v>
      </c>
      <c r="E515" s="2" t="s">
        <v>1381</v>
      </c>
      <c r="J515"/>
      <c r="K515"/>
      <c r="L51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5" s="13" t="str">
        <f>VLOOKUP(Tabla3[[#This Row],[Tipo]],TIPO[#All],2,0)</f>
        <v>ET</v>
      </c>
      <c r="O515" s="13" t="str">
        <f>VLOOKUP(Tabla3[[#This Row],[Lugar]],LUGAR[#All],2,0)</f>
        <v>VMN</v>
      </c>
      <c r="P515" s="13" t="str">
        <f>Tabla3[[#This Row],[SIGLAS]]</f>
        <v>TR3</v>
      </c>
      <c r="Q515" s="13" t="str">
        <f>_xlfn.IFNA(VLOOKUP(Tabla3[[#This Row],[Nivel de tension]],NIVEL[#All],2,0),"")</f>
        <v/>
      </c>
      <c r="R515" s="13" t="str">
        <f>_xlfn.IFNA(VLOOKUP(Tabla3[[#This Row],[DISPOSITIVO]],DISPOSITIVO[],2,0),"")</f>
        <v/>
      </c>
      <c r="S515" s="13" t="str">
        <f>_xlfn.IFNA(VLOOKUP(Tabla3[[#This Row],[PROTECCION SECUNDARIA]],PROTECCION_SECUNDARIA[],2,0),"")</f>
        <v/>
      </c>
      <c r="T515" s="13" t="str">
        <f>_xlfn.IFNA(VLOOKUP(Tabla3[[#This Row],[Que]],QUE[#All],2,0),"")</f>
        <v/>
      </c>
      <c r="U515" s="13" t="str">
        <f>_xlfn.IFNA(VLOOKUP(Tabla3[[#This Row],[Señal]],SEÑAL[#All],2,0),"")</f>
        <v/>
      </c>
      <c r="V515" s="13" t="str">
        <f>_xlfn.IFNA(VLOOKUP(Tabla3[[#This Row],[NUMERO]],SEÑAL[#All],2,0),"")</f>
        <v/>
      </c>
    </row>
    <row r="516" spans="1:22" x14ac:dyDescent="0.25">
      <c r="A516" s="26" t="s">
        <v>1304</v>
      </c>
      <c r="B516" s="2" t="s">
        <v>8</v>
      </c>
      <c r="C516" s="2" t="s">
        <v>89</v>
      </c>
      <c r="D516" s="2" t="s">
        <v>109</v>
      </c>
      <c r="E516" s="2" t="s">
        <v>1381</v>
      </c>
      <c r="J516"/>
      <c r="K516"/>
      <c r="L51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6" s="13" t="str">
        <f>VLOOKUP(Tabla3[[#This Row],[Tipo]],TIPO[#All],2,0)</f>
        <v>ET</v>
      </c>
      <c r="O516" s="13" t="str">
        <f>VLOOKUP(Tabla3[[#This Row],[Lugar]],LUGAR[#All],2,0)</f>
        <v>VMN</v>
      </c>
      <c r="P516" s="13" t="str">
        <f>Tabla3[[#This Row],[SIGLAS]]</f>
        <v>TR3</v>
      </c>
      <c r="Q516" s="13" t="str">
        <f>_xlfn.IFNA(VLOOKUP(Tabla3[[#This Row],[Nivel de tension]],NIVEL[#All],2,0),"")</f>
        <v/>
      </c>
      <c r="R516" s="13" t="str">
        <f>_xlfn.IFNA(VLOOKUP(Tabla3[[#This Row],[DISPOSITIVO]],DISPOSITIVO[],2,0),"")</f>
        <v/>
      </c>
      <c r="S516" s="13" t="str">
        <f>_xlfn.IFNA(VLOOKUP(Tabla3[[#This Row],[PROTECCION SECUNDARIA]],PROTECCION_SECUNDARIA[],2,0),"")</f>
        <v/>
      </c>
      <c r="T516" s="13" t="str">
        <f>_xlfn.IFNA(VLOOKUP(Tabla3[[#This Row],[Que]],QUE[#All],2,0),"")</f>
        <v/>
      </c>
      <c r="U516" s="13" t="str">
        <f>_xlfn.IFNA(VLOOKUP(Tabla3[[#This Row],[Señal]],SEÑAL[#All],2,0),"")</f>
        <v/>
      </c>
      <c r="V516" s="13" t="str">
        <f>_xlfn.IFNA(VLOOKUP(Tabla3[[#This Row],[NUMERO]],SEÑAL[#All],2,0),"")</f>
        <v/>
      </c>
    </row>
    <row r="517" spans="1:22" x14ac:dyDescent="0.25">
      <c r="A517" s="26" t="s">
        <v>1305</v>
      </c>
      <c r="B517" s="2" t="s">
        <v>8</v>
      </c>
      <c r="C517" s="2" t="s">
        <v>89</v>
      </c>
      <c r="D517" s="2" t="s">
        <v>109</v>
      </c>
      <c r="E517" s="2" t="s">
        <v>1381</v>
      </c>
      <c r="J517"/>
      <c r="K517"/>
      <c r="L51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7" s="13" t="str">
        <f>VLOOKUP(Tabla3[[#This Row],[Tipo]],TIPO[#All],2,0)</f>
        <v>ET</v>
      </c>
      <c r="O517" s="13" t="str">
        <f>VLOOKUP(Tabla3[[#This Row],[Lugar]],LUGAR[#All],2,0)</f>
        <v>VMN</v>
      </c>
      <c r="P517" s="13" t="str">
        <f>Tabla3[[#This Row],[SIGLAS]]</f>
        <v>TR3</v>
      </c>
      <c r="Q517" s="13" t="str">
        <f>_xlfn.IFNA(VLOOKUP(Tabla3[[#This Row],[Nivel de tension]],NIVEL[#All],2,0),"")</f>
        <v/>
      </c>
      <c r="R517" s="13" t="str">
        <f>_xlfn.IFNA(VLOOKUP(Tabla3[[#This Row],[DISPOSITIVO]],DISPOSITIVO[],2,0),"")</f>
        <v/>
      </c>
      <c r="S517" s="13" t="str">
        <f>_xlfn.IFNA(VLOOKUP(Tabla3[[#This Row],[PROTECCION SECUNDARIA]],PROTECCION_SECUNDARIA[],2,0),"")</f>
        <v/>
      </c>
      <c r="T517" s="13" t="str">
        <f>_xlfn.IFNA(VLOOKUP(Tabla3[[#This Row],[Que]],QUE[#All],2,0),"")</f>
        <v/>
      </c>
      <c r="U517" s="13" t="str">
        <f>_xlfn.IFNA(VLOOKUP(Tabla3[[#This Row],[Señal]],SEÑAL[#All],2,0),"")</f>
        <v/>
      </c>
      <c r="V517" s="13" t="str">
        <f>_xlfn.IFNA(VLOOKUP(Tabla3[[#This Row],[NUMERO]],SEÑAL[#All],2,0),"")</f>
        <v/>
      </c>
    </row>
    <row r="518" spans="1:22" x14ac:dyDescent="0.25">
      <c r="A518" s="26" t="s">
        <v>1306</v>
      </c>
      <c r="B518" s="2" t="s">
        <v>8</v>
      </c>
      <c r="C518" s="2" t="s">
        <v>89</v>
      </c>
      <c r="D518" s="2" t="s">
        <v>109</v>
      </c>
      <c r="E518" s="2" t="s">
        <v>1381</v>
      </c>
      <c r="J518"/>
      <c r="K518"/>
      <c r="L51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8" s="13" t="str">
        <f>VLOOKUP(Tabla3[[#This Row],[Tipo]],TIPO[#All],2,0)</f>
        <v>ET</v>
      </c>
      <c r="O518" s="13" t="str">
        <f>VLOOKUP(Tabla3[[#This Row],[Lugar]],LUGAR[#All],2,0)</f>
        <v>VMN</v>
      </c>
      <c r="P518" s="13" t="str">
        <f>Tabla3[[#This Row],[SIGLAS]]</f>
        <v>TR3</v>
      </c>
      <c r="Q518" s="13" t="str">
        <f>_xlfn.IFNA(VLOOKUP(Tabla3[[#This Row],[Nivel de tension]],NIVEL[#All],2,0),"")</f>
        <v/>
      </c>
      <c r="R518" s="13" t="str">
        <f>_xlfn.IFNA(VLOOKUP(Tabla3[[#This Row],[DISPOSITIVO]],DISPOSITIVO[],2,0),"")</f>
        <v/>
      </c>
      <c r="S518" s="13" t="str">
        <f>_xlfn.IFNA(VLOOKUP(Tabla3[[#This Row],[PROTECCION SECUNDARIA]],PROTECCION_SECUNDARIA[],2,0),"")</f>
        <v/>
      </c>
      <c r="T518" s="13" t="str">
        <f>_xlfn.IFNA(VLOOKUP(Tabla3[[#This Row],[Que]],QUE[#All],2,0),"")</f>
        <v/>
      </c>
      <c r="U518" s="13" t="str">
        <f>_xlfn.IFNA(VLOOKUP(Tabla3[[#This Row],[Señal]],SEÑAL[#All],2,0),"")</f>
        <v/>
      </c>
      <c r="V518" s="13" t="str">
        <f>_xlfn.IFNA(VLOOKUP(Tabla3[[#This Row],[NUMERO]],SEÑAL[#All],2,0),"")</f>
        <v/>
      </c>
    </row>
    <row r="519" spans="1:22" x14ac:dyDescent="0.25">
      <c r="A519" s="26" t="s">
        <v>1307</v>
      </c>
      <c r="B519" s="2" t="s">
        <v>8</v>
      </c>
      <c r="C519" s="2" t="s">
        <v>89</v>
      </c>
      <c r="D519" s="2" t="s">
        <v>109</v>
      </c>
      <c r="E519" s="2" t="s">
        <v>1381</v>
      </c>
      <c r="J519"/>
      <c r="K519"/>
      <c r="L51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19" s="13" t="str">
        <f>VLOOKUP(Tabla3[[#This Row],[Tipo]],TIPO[#All],2,0)</f>
        <v>ET</v>
      </c>
      <c r="O519" s="13" t="str">
        <f>VLOOKUP(Tabla3[[#This Row],[Lugar]],LUGAR[#All],2,0)</f>
        <v>VMN</v>
      </c>
      <c r="P519" s="13" t="str">
        <f>Tabla3[[#This Row],[SIGLAS]]</f>
        <v>TR3</v>
      </c>
      <c r="Q519" s="13" t="str">
        <f>_xlfn.IFNA(VLOOKUP(Tabla3[[#This Row],[Nivel de tension]],NIVEL[#All],2,0),"")</f>
        <v/>
      </c>
      <c r="R519" s="13" t="str">
        <f>_xlfn.IFNA(VLOOKUP(Tabla3[[#This Row],[DISPOSITIVO]],DISPOSITIVO[],2,0),"")</f>
        <v/>
      </c>
      <c r="S519" s="13" t="str">
        <f>_xlfn.IFNA(VLOOKUP(Tabla3[[#This Row],[PROTECCION SECUNDARIA]],PROTECCION_SECUNDARIA[],2,0),"")</f>
        <v/>
      </c>
      <c r="T519" s="13" t="str">
        <f>_xlfn.IFNA(VLOOKUP(Tabla3[[#This Row],[Que]],QUE[#All],2,0),"")</f>
        <v/>
      </c>
      <c r="U519" s="13" t="str">
        <f>_xlfn.IFNA(VLOOKUP(Tabla3[[#This Row],[Señal]],SEÑAL[#All],2,0),"")</f>
        <v/>
      </c>
      <c r="V519" s="13" t="str">
        <f>_xlfn.IFNA(VLOOKUP(Tabla3[[#This Row],[NUMERO]],SEÑAL[#All],2,0),"")</f>
        <v/>
      </c>
    </row>
    <row r="520" spans="1:22" x14ac:dyDescent="0.25">
      <c r="A520" s="26" t="s">
        <v>1308</v>
      </c>
      <c r="B520" s="2" t="s">
        <v>8</v>
      </c>
      <c r="C520" s="2" t="s">
        <v>89</v>
      </c>
      <c r="D520" s="2" t="s">
        <v>109</v>
      </c>
      <c r="E520" s="2" t="s">
        <v>1381</v>
      </c>
      <c r="J520"/>
      <c r="K520"/>
      <c r="L52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0" s="13" t="str">
        <f>VLOOKUP(Tabla3[[#This Row],[Tipo]],TIPO[#All],2,0)</f>
        <v>ET</v>
      </c>
      <c r="O520" s="13" t="str">
        <f>VLOOKUP(Tabla3[[#This Row],[Lugar]],LUGAR[#All],2,0)</f>
        <v>VMN</v>
      </c>
      <c r="P520" s="13" t="str">
        <f>Tabla3[[#This Row],[SIGLAS]]</f>
        <v>TR3</v>
      </c>
      <c r="Q520" s="13" t="str">
        <f>_xlfn.IFNA(VLOOKUP(Tabla3[[#This Row],[Nivel de tension]],NIVEL[#All],2,0),"")</f>
        <v/>
      </c>
      <c r="R520" s="13" t="str">
        <f>_xlfn.IFNA(VLOOKUP(Tabla3[[#This Row],[DISPOSITIVO]],DISPOSITIVO[],2,0),"")</f>
        <v/>
      </c>
      <c r="S520" s="13" t="str">
        <f>_xlfn.IFNA(VLOOKUP(Tabla3[[#This Row],[PROTECCION SECUNDARIA]],PROTECCION_SECUNDARIA[],2,0),"")</f>
        <v/>
      </c>
      <c r="T520" s="13" t="str">
        <f>_xlfn.IFNA(VLOOKUP(Tabla3[[#This Row],[Que]],QUE[#All],2,0),"")</f>
        <v/>
      </c>
      <c r="U520" s="13" t="str">
        <f>_xlfn.IFNA(VLOOKUP(Tabla3[[#This Row],[Señal]],SEÑAL[#All],2,0),"")</f>
        <v/>
      </c>
      <c r="V520" s="13" t="str">
        <f>_xlfn.IFNA(VLOOKUP(Tabla3[[#This Row],[NUMERO]],SEÑAL[#All],2,0),"")</f>
        <v/>
      </c>
    </row>
    <row r="521" spans="1:22" x14ac:dyDescent="0.25">
      <c r="A521" s="26" t="s">
        <v>1309</v>
      </c>
      <c r="B521" s="2" t="s">
        <v>8</v>
      </c>
      <c r="C521" s="2" t="s">
        <v>89</v>
      </c>
      <c r="D521" s="2" t="s">
        <v>109</v>
      </c>
      <c r="E521" s="2" t="s">
        <v>1381</v>
      </c>
      <c r="J521"/>
      <c r="K521"/>
      <c r="L52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1" s="13" t="str">
        <f>VLOOKUP(Tabla3[[#This Row],[Tipo]],TIPO[#All],2,0)</f>
        <v>ET</v>
      </c>
      <c r="O521" s="13" t="str">
        <f>VLOOKUP(Tabla3[[#This Row],[Lugar]],LUGAR[#All],2,0)</f>
        <v>VMN</v>
      </c>
      <c r="P521" s="13" t="str">
        <f>Tabla3[[#This Row],[SIGLAS]]</f>
        <v>TR3</v>
      </c>
      <c r="Q521" s="13" t="str">
        <f>_xlfn.IFNA(VLOOKUP(Tabla3[[#This Row],[Nivel de tension]],NIVEL[#All],2,0),"")</f>
        <v/>
      </c>
      <c r="R521" s="13" t="str">
        <f>_xlfn.IFNA(VLOOKUP(Tabla3[[#This Row],[DISPOSITIVO]],DISPOSITIVO[],2,0),"")</f>
        <v/>
      </c>
      <c r="S521" s="13" t="str">
        <f>_xlfn.IFNA(VLOOKUP(Tabla3[[#This Row],[PROTECCION SECUNDARIA]],PROTECCION_SECUNDARIA[],2,0),"")</f>
        <v/>
      </c>
      <c r="T521" s="13" t="str">
        <f>_xlfn.IFNA(VLOOKUP(Tabla3[[#This Row],[Que]],QUE[#All],2,0),"")</f>
        <v/>
      </c>
      <c r="U521" s="13" t="str">
        <f>_xlfn.IFNA(VLOOKUP(Tabla3[[#This Row],[Señal]],SEÑAL[#All],2,0),"")</f>
        <v/>
      </c>
      <c r="V521" s="13" t="str">
        <f>_xlfn.IFNA(VLOOKUP(Tabla3[[#This Row],[NUMERO]],SEÑAL[#All],2,0),"")</f>
        <v/>
      </c>
    </row>
    <row r="522" spans="1:22" x14ac:dyDescent="0.25">
      <c r="A522" s="26" t="s">
        <v>1310</v>
      </c>
      <c r="B522" s="2" t="s">
        <v>8</v>
      </c>
      <c r="C522" s="2" t="s">
        <v>89</v>
      </c>
      <c r="D522" s="2" t="s">
        <v>109</v>
      </c>
      <c r="E522" s="2" t="s">
        <v>1381</v>
      </c>
      <c r="J522"/>
      <c r="K522"/>
      <c r="L52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2" s="13" t="str">
        <f>VLOOKUP(Tabla3[[#This Row],[Tipo]],TIPO[#All],2,0)</f>
        <v>ET</v>
      </c>
      <c r="O522" s="13" t="str">
        <f>VLOOKUP(Tabla3[[#This Row],[Lugar]],LUGAR[#All],2,0)</f>
        <v>VMN</v>
      </c>
      <c r="P522" s="13" t="str">
        <f>Tabla3[[#This Row],[SIGLAS]]</f>
        <v>TR3</v>
      </c>
      <c r="Q522" s="13" t="str">
        <f>_xlfn.IFNA(VLOOKUP(Tabla3[[#This Row],[Nivel de tension]],NIVEL[#All],2,0),"")</f>
        <v/>
      </c>
      <c r="R522" s="13" t="str">
        <f>_xlfn.IFNA(VLOOKUP(Tabla3[[#This Row],[DISPOSITIVO]],DISPOSITIVO[],2,0),"")</f>
        <v/>
      </c>
      <c r="S522" s="13" t="str">
        <f>_xlfn.IFNA(VLOOKUP(Tabla3[[#This Row],[PROTECCION SECUNDARIA]],PROTECCION_SECUNDARIA[],2,0),"")</f>
        <v/>
      </c>
      <c r="T522" s="13" t="str">
        <f>_xlfn.IFNA(VLOOKUP(Tabla3[[#This Row],[Que]],QUE[#All],2,0),"")</f>
        <v/>
      </c>
      <c r="U522" s="13" t="str">
        <f>_xlfn.IFNA(VLOOKUP(Tabla3[[#This Row],[Señal]],SEÑAL[#All],2,0),"")</f>
        <v/>
      </c>
      <c r="V522" s="13" t="str">
        <f>_xlfn.IFNA(VLOOKUP(Tabla3[[#This Row],[NUMERO]],SEÑAL[#All],2,0),"")</f>
        <v/>
      </c>
    </row>
    <row r="523" spans="1:22" x14ac:dyDescent="0.25">
      <c r="A523" s="26" t="s">
        <v>1311</v>
      </c>
      <c r="B523" s="2" t="s">
        <v>8</v>
      </c>
      <c r="C523" s="2" t="s">
        <v>89</v>
      </c>
      <c r="D523" s="2" t="s">
        <v>109</v>
      </c>
      <c r="E523" s="2" t="s">
        <v>1381</v>
      </c>
      <c r="J523"/>
      <c r="K523"/>
      <c r="L52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3" s="13" t="str">
        <f>VLOOKUP(Tabla3[[#This Row],[Tipo]],TIPO[#All],2,0)</f>
        <v>ET</v>
      </c>
      <c r="O523" s="13" t="str">
        <f>VLOOKUP(Tabla3[[#This Row],[Lugar]],LUGAR[#All],2,0)</f>
        <v>VMN</v>
      </c>
      <c r="P523" s="13" t="str">
        <f>Tabla3[[#This Row],[SIGLAS]]</f>
        <v>TR3</v>
      </c>
      <c r="Q523" s="13" t="str">
        <f>_xlfn.IFNA(VLOOKUP(Tabla3[[#This Row],[Nivel de tension]],NIVEL[#All],2,0),"")</f>
        <v/>
      </c>
      <c r="R523" s="13" t="str">
        <f>_xlfn.IFNA(VLOOKUP(Tabla3[[#This Row],[DISPOSITIVO]],DISPOSITIVO[],2,0),"")</f>
        <v/>
      </c>
      <c r="S523" s="13" t="str">
        <f>_xlfn.IFNA(VLOOKUP(Tabla3[[#This Row],[PROTECCION SECUNDARIA]],PROTECCION_SECUNDARIA[],2,0),"")</f>
        <v/>
      </c>
      <c r="T523" s="13" t="str">
        <f>_xlfn.IFNA(VLOOKUP(Tabla3[[#This Row],[Que]],QUE[#All],2,0),"")</f>
        <v/>
      </c>
      <c r="U523" s="13" t="str">
        <f>_xlfn.IFNA(VLOOKUP(Tabla3[[#This Row],[Señal]],SEÑAL[#All],2,0),"")</f>
        <v/>
      </c>
      <c r="V523" s="13" t="str">
        <f>_xlfn.IFNA(VLOOKUP(Tabla3[[#This Row],[NUMERO]],SEÑAL[#All],2,0),"")</f>
        <v/>
      </c>
    </row>
    <row r="524" spans="1:22" x14ac:dyDescent="0.25">
      <c r="A524" s="26" t="s">
        <v>1219</v>
      </c>
      <c r="B524" s="2" t="s">
        <v>8</v>
      </c>
      <c r="C524" s="2" t="s">
        <v>89</v>
      </c>
      <c r="D524" s="2" t="s">
        <v>109</v>
      </c>
      <c r="E524" s="2" t="s">
        <v>1381</v>
      </c>
      <c r="J524"/>
      <c r="K524"/>
      <c r="L52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4" s="13" t="str">
        <f>VLOOKUP(Tabla3[[#This Row],[Tipo]],TIPO[#All],2,0)</f>
        <v>ET</v>
      </c>
      <c r="O524" s="13" t="str">
        <f>VLOOKUP(Tabla3[[#This Row],[Lugar]],LUGAR[#All],2,0)</f>
        <v>VMN</v>
      </c>
      <c r="P524" s="13" t="str">
        <f>Tabla3[[#This Row],[SIGLAS]]</f>
        <v>TR3</v>
      </c>
      <c r="Q524" s="13" t="str">
        <f>_xlfn.IFNA(VLOOKUP(Tabla3[[#This Row],[Nivel de tension]],NIVEL[#All],2,0),"")</f>
        <v/>
      </c>
      <c r="R524" s="13" t="str">
        <f>_xlfn.IFNA(VLOOKUP(Tabla3[[#This Row],[DISPOSITIVO]],DISPOSITIVO[],2,0),"")</f>
        <v/>
      </c>
      <c r="S524" s="13" t="str">
        <f>_xlfn.IFNA(VLOOKUP(Tabla3[[#This Row],[PROTECCION SECUNDARIA]],PROTECCION_SECUNDARIA[],2,0),"")</f>
        <v/>
      </c>
      <c r="T524" s="13" t="str">
        <f>_xlfn.IFNA(VLOOKUP(Tabla3[[#This Row],[Que]],QUE[#All],2,0),"")</f>
        <v/>
      </c>
      <c r="U524" s="13" t="str">
        <f>_xlfn.IFNA(VLOOKUP(Tabla3[[#This Row],[Señal]],SEÑAL[#All],2,0),"")</f>
        <v/>
      </c>
      <c r="V524" s="13" t="str">
        <f>_xlfn.IFNA(VLOOKUP(Tabla3[[#This Row],[NUMERO]],SEÑAL[#All],2,0),"")</f>
        <v/>
      </c>
    </row>
    <row r="525" spans="1:22" x14ac:dyDescent="0.25">
      <c r="A525" s="26" t="s">
        <v>1220</v>
      </c>
      <c r="B525" s="2" t="s">
        <v>8</v>
      </c>
      <c r="C525" s="2" t="s">
        <v>89</v>
      </c>
      <c r="D525" s="2" t="s">
        <v>109</v>
      </c>
      <c r="E525" s="2" t="s">
        <v>1381</v>
      </c>
      <c r="J525"/>
      <c r="K525"/>
      <c r="L52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5" s="13" t="str">
        <f>VLOOKUP(Tabla3[[#This Row],[Tipo]],TIPO[#All],2,0)</f>
        <v>ET</v>
      </c>
      <c r="O525" s="13" t="str">
        <f>VLOOKUP(Tabla3[[#This Row],[Lugar]],LUGAR[#All],2,0)</f>
        <v>VMN</v>
      </c>
      <c r="P525" s="13" t="str">
        <f>Tabla3[[#This Row],[SIGLAS]]</f>
        <v>TR3</v>
      </c>
      <c r="Q525" s="13" t="str">
        <f>_xlfn.IFNA(VLOOKUP(Tabla3[[#This Row],[Nivel de tension]],NIVEL[#All],2,0),"")</f>
        <v/>
      </c>
      <c r="R525" s="13" t="str">
        <f>_xlfn.IFNA(VLOOKUP(Tabla3[[#This Row],[DISPOSITIVO]],DISPOSITIVO[],2,0),"")</f>
        <v/>
      </c>
      <c r="S525" s="13" t="str">
        <f>_xlfn.IFNA(VLOOKUP(Tabla3[[#This Row],[PROTECCION SECUNDARIA]],PROTECCION_SECUNDARIA[],2,0),"")</f>
        <v/>
      </c>
      <c r="T525" s="13" t="str">
        <f>_xlfn.IFNA(VLOOKUP(Tabla3[[#This Row],[Que]],QUE[#All],2,0),"")</f>
        <v/>
      </c>
      <c r="U525" s="13" t="str">
        <f>_xlfn.IFNA(VLOOKUP(Tabla3[[#This Row],[Señal]],SEÑAL[#All],2,0),"")</f>
        <v/>
      </c>
      <c r="V525" s="13" t="str">
        <f>_xlfn.IFNA(VLOOKUP(Tabla3[[#This Row],[NUMERO]],SEÑAL[#All],2,0),"")</f>
        <v/>
      </c>
    </row>
    <row r="526" spans="1:22" x14ac:dyDescent="0.25">
      <c r="A526" s="26" t="s">
        <v>1221</v>
      </c>
      <c r="B526" s="2" t="s">
        <v>8</v>
      </c>
      <c r="C526" s="2" t="s">
        <v>89</v>
      </c>
      <c r="D526" s="2" t="s">
        <v>109</v>
      </c>
      <c r="E526" s="2" t="s">
        <v>1381</v>
      </c>
      <c r="J526"/>
      <c r="K526"/>
      <c r="L52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6" s="13" t="str">
        <f>VLOOKUP(Tabla3[[#This Row],[Tipo]],TIPO[#All],2,0)</f>
        <v>ET</v>
      </c>
      <c r="O526" s="13" t="str">
        <f>VLOOKUP(Tabla3[[#This Row],[Lugar]],LUGAR[#All],2,0)</f>
        <v>VMN</v>
      </c>
      <c r="P526" s="13" t="str">
        <f>Tabla3[[#This Row],[SIGLAS]]</f>
        <v>TR3</v>
      </c>
      <c r="Q526" s="13" t="str">
        <f>_xlfn.IFNA(VLOOKUP(Tabla3[[#This Row],[Nivel de tension]],NIVEL[#All],2,0),"")</f>
        <v/>
      </c>
      <c r="R526" s="13" t="str">
        <f>_xlfn.IFNA(VLOOKUP(Tabla3[[#This Row],[DISPOSITIVO]],DISPOSITIVO[],2,0),"")</f>
        <v/>
      </c>
      <c r="S526" s="13" t="str">
        <f>_xlfn.IFNA(VLOOKUP(Tabla3[[#This Row],[PROTECCION SECUNDARIA]],PROTECCION_SECUNDARIA[],2,0),"")</f>
        <v/>
      </c>
      <c r="T526" s="13" t="str">
        <f>_xlfn.IFNA(VLOOKUP(Tabla3[[#This Row],[Que]],QUE[#All],2,0),"")</f>
        <v/>
      </c>
      <c r="U526" s="13" t="str">
        <f>_xlfn.IFNA(VLOOKUP(Tabla3[[#This Row],[Señal]],SEÑAL[#All],2,0),"")</f>
        <v/>
      </c>
      <c r="V526" s="13" t="str">
        <f>_xlfn.IFNA(VLOOKUP(Tabla3[[#This Row],[NUMERO]],SEÑAL[#All],2,0),"")</f>
        <v/>
      </c>
    </row>
    <row r="527" spans="1:22" x14ac:dyDescent="0.25">
      <c r="A527" s="26" t="s">
        <v>1222</v>
      </c>
      <c r="B527" s="2" t="s">
        <v>8</v>
      </c>
      <c r="C527" s="2" t="s">
        <v>89</v>
      </c>
      <c r="D527" s="2" t="s">
        <v>109</v>
      </c>
      <c r="E527" s="2" t="s">
        <v>1381</v>
      </c>
      <c r="J527"/>
      <c r="K527"/>
      <c r="L52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7" s="13" t="str">
        <f>VLOOKUP(Tabla3[[#This Row],[Tipo]],TIPO[#All],2,0)</f>
        <v>ET</v>
      </c>
      <c r="O527" s="13" t="str">
        <f>VLOOKUP(Tabla3[[#This Row],[Lugar]],LUGAR[#All],2,0)</f>
        <v>VMN</v>
      </c>
      <c r="P527" s="13" t="str">
        <f>Tabla3[[#This Row],[SIGLAS]]</f>
        <v>TR3</v>
      </c>
      <c r="Q527" s="13" t="str">
        <f>_xlfn.IFNA(VLOOKUP(Tabla3[[#This Row],[Nivel de tension]],NIVEL[#All],2,0),"")</f>
        <v/>
      </c>
      <c r="R527" s="13" t="str">
        <f>_xlfn.IFNA(VLOOKUP(Tabla3[[#This Row],[DISPOSITIVO]],DISPOSITIVO[],2,0),"")</f>
        <v/>
      </c>
      <c r="S527" s="13" t="str">
        <f>_xlfn.IFNA(VLOOKUP(Tabla3[[#This Row],[PROTECCION SECUNDARIA]],PROTECCION_SECUNDARIA[],2,0),"")</f>
        <v/>
      </c>
      <c r="T527" s="13" t="str">
        <f>_xlfn.IFNA(VLOOKUP(Tabla3[[#This Row],[Que]],QUE[#All],2,0),"")</f>
        <v/>
      </c>
      <c r="U527" s="13" t="str">
        <f>_xlfn.IFNA(VLOOKUP(Tabla3[[#This Row],[Señal]],SEÑAL[#All],2,0),"")</f>
        <v/>
      </c>
      <c r="V527" s="13" t="str">
        <f>_xlfn.IFNA(VLOOKUP(Tabla3[[#This Row],[NUMERO]],SEÑAL[#All],2,0),"")</f>
        <v/>
      </c>
    </row>
    <row r="528" spans="1:22" x14ac:dyDescent="0.25">
      <c r="A528" s="26" t="s">
        <v>1312</v>
      </c>
      <c r="B528" s="2" t="s">
        <v>8</v>
      </c>
      <c r="C528" s="2" t="s">
        <v>89</v>
      </c>
      <c r="D528" s="2" t="s">
        <v>109</v>
      </c>
      <c r="E528" s="2" t="s">
        <v>1381</v>
      </c>
      <c r="J528"/>
      <c r="K528"/>
      <c r="L52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8" s="13" t="str">
        <f>VLOOKUP(Tabla3[[#This Row],[Tipo]],TIPO[#All],2,0)</f>
        <v>ET</v>
      </c>
      <c r="O528" s="13" t="str">
        <f>VLOOKUP(Tabla3[[#This Row],[Lugar]],LUGAR[#All],2,0)</f>
        <v>VMN</v>
      </c>
      <c r="P528" s="13" t="str">
        <f>Tabla3[[#This Row],[SIGLAS]]</f>
        <v>TR3</v>
      </c>
      <c r="Q528" s="13" t="str">
        <f>_xlfn.IFNA(VLOOKUP(Tabla3[[#This Row],[Nivel de tension]],NIVEL[#All],2,0),"")</f>
        <v/>
      </c>
      <c r="R528" s="13" t="str">
        <f>_xlfn.IFNA(VLOOKUP(Tabla3[[#This Row],[DISPOSITIVO]],DISPOSITIVO[],2,0),"")</f>
        <v/>
      </c>
      <c r="S528" s="13" t="str">
        <f>_xlfn.IFNA(VLOOKUP(Tabla3[[#This Row],[PROTECCION SECUNDARIA]],PROTECCION_SECUNDARIA[],2,0),"")</f>
        <v/>
      </c>
      <c r="T528" s="13" t="str">
        <f>_xlfn.IFNA(VLOOKUP(Tabla3[[#This Row],[Que]],QUE[#All],2,0),"")</f>
        <v/>
      </c>
      <c r="U528" s="13" t="str">
        <f>_xlfn.IFNA(VLOOKUP(Tabla3[[#This Row],[Señal]],SEÑAL[#All],2,0),"")</f>
        <v/>
      </c>
      <c r="V528" s="13" t="str">
        <f>_xlfn.IFNA(VLOOKUP(Tabla3[[#This Row],[NUMERO]],SEÑAL[#All],2,0),"")</f>
        <v/>
      </c>
    </row>
    <row r="529" spans="1:22" x14ac:dyDescent="0.25">
      <c r="A529" s="26" t="s">
        <v>1313</v>
      </c>
      <c r="B529" s="2" t="s">
        <v>8</v>
      </c>
      <c r="C529" s="2" t="s">
        <v>89</v>
      </c>
      <c r="D529" s="2" t="s">
        <v>109</v>
      </c>
      <c r="E529" s="2" t="s">
        <v>1381</v>
      </c>
      <c r="J529"/>
      <c r="K529"/>
      <c r="L52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29" s="13" t="str">
        <f>VLOOKUP(Tabla3[[#This Row],[Tipo]],TIPO[#All],2,0)</f>
        <v>ET</v>
      </c>
      <c r="O529" s="13" t="str">
        <f>VLOOKUP(Tabla3[[#This Row],[Lugar]],LUGAR[#All],2,0)</f>
        <v>VMN</v>
      </c>
      <c r="P529" s="13" t="str">
        <f>Tabla3[[#This Row],[SIGLAS]]</f>
        <v>TR3</v>
      </c>
      <c r="Q529" s="13" t="str">
        <f>_xlfn.IFNA(VLOOKUP(Tabla3[[#This Row],[Nivel de tension]],NIVEL[#All],2,0),"")</f>
        <v/>
      </c>
      <c r="R529" s="13" t="str">
        <f>_xlfn.IFNA(VLOOKUP(Tabla3[[#This Row],[DISPOSITIVO]],DISPOSITIVO[],2,0),"")</f>
        <v/>
      </c>
      <c r="S529" s="13" t="str">
        <f>_xlfn.IFNA(VLOOKUP(Tabla3[[#This Row],[PROTECCION SECUNDARIA]],PROTECCION_SECUNDARIA[],2,0),"")</f>
        <v/>
      </c>
      <c r="T529" s="13" t="str">
        <f>_xlfn.IFNA(VLOOKUP(Tabla3[[#This Row],[Que]],QUE[#All],2,0),"")</f>
        <v/>
      </c>
      <c r="U529" s="13" t="str">
        <f>_xlfn.IFNA(VLOOKUP(Tabla3[[#This Row],[Señal]],SEÑAL[#All],2,0),"")</f>
        <v/>
      </c>
      <c r="V529" s="13" t="str">
        <f>_xlfn.IFNA(VLOOKUP(Tabla3[[#This Row],[NUMERO]],SEÑAL[#All],2,0),"")</f>
        <v/>
      </c>
    </row>
    <row r="530" spans="1:22" x14ac:dyDescent="0.25">
      <c r="A530" s="26" t="s">
        <v>1314</v>
      </c>
      <c r="B530" s="2" t="s">
        <v>8</v>
      </c>
      <c r="C530" s="2" t="s">
        <v>89</v>
      </c>
      <c r="D530" s="2" t="s">
        <v>109</v>
      </c>
      <c r="E530" s="2" t="s">
        <v>1381</v>
      </c>
      <c r="J530"/>
      <c r="K530"/>
      <c r="L53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0" s="13" t="str">
        <f>VLOOKUP(Tabla3[[#This Row],[Tipo]],TIPO[#All],2,0)</f>
        <v>ET</v>
      </c>
      <c r="O530" s="13" t="str">
        <f>VLOOKUP(Tabla3[[#This Row],[Lugar]],LUGAR[#All],2,0)</f>
        <v>VMN</v>
      </c>
      <c r="P530" s="13" t="str">
        <f>Tabla3[[#This Row],[SIGLAS]]</f>
        <v>TR3</v>
      </c>
      <c r="Q530" s="13" t="str">
        <f>_xlfn.IFNA(VLOOKUP(Tabla3[[#This Row],[Nivel de tension]],NIVEL[#All],2,0),"")</f>
        <v/>
      </c>
      <c r="R530" s="13" t="str">
        <f>_xlfn.IFNA(VLOOKUP(Tabla3[[#This Row],[DISPOSITIVO]],DISPOSITIVO[],2,0),"")</f>
        <v/>
      </c>
      <c r="S530" s="13" t="str">
        <f>_xlfn.IFNA(VLOOKUP(Tabla3[[#This Row],[PROTECCION SECUNDARIA]],PROTECCION_SECUNDARIA[],2,0),"")</f>
        <v/>
      </c>
      <c r="T530" s="13" t="str">
        <f>_xlfn.IFNA(VLOOKUP(Tabla3[[#This Row],[Que]],QUE[#All],2,0),"")</f>
        <v/>
      </c>
      <c r="U530" s="13" t="str">
        <f>_xlfn.IFNA(VLOOKUP(Tabla3[[#This Row],[Señal]],SEÑAL[#All],2,0),"")</f>
        <v/>
      </c>
      <c r="V530" s="13" t="str">
        <f>_xlfn.IFNA(VLOOKUP(Tabla3[[#This Row],[NUMERO]],SEÑAL[#All],2,0),"")</f>
        <v/>
      </c>
    </row>
    <row r="531" spans="1:22" x14ac:dyDescent="0.25">
      <c r="A531" s="26" t="s">
        <v>1315</v>
      </c>
      <c r="B531" s="2" t="s">
        <v>8</v>
      </c>
      <c r="C531" s="2" t="s">
        <v>89</v>
      </c>
      <c r="D531" s="2" t="s">
        <v>109</v>
      </c>
      <c r="E531" s="2" t="s">
        <v>1381</v>
      </c>
      <c r="J531"/>
      <c r="K531"/>
      <c r="L53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1" s="13" t="str">
        <f>VLOOKUP(Tabla3[[#This Row],[Tipo]],TIPO[#All],2,0)</f>
        <v>ET</v>
      </c>
      <c r="O531" s="13" t="str">
        <f>VLOOKUP(Tabla3[[#This Row],[Lugar]],LUGAR[#All],2,0)</f>
        <v>VMN</v>
      </c>
      <c r="P531" s="13" t="str">
        <f>Tabla3[[#This Row],[SIGLAS]]</f>
        <v>TR3</v>
      </c>
      <c r="Q531" s="13" t="str">
        <f>_xlfn.IFNA(VLOOKUP(Tabla3[[#This Row],[Nivel de tension]],NIVEL[#All],2,0),"")</f>
        <v/>
      </c>
      <c r="R531" s="13" t="str">
        <f>_xlfn.IFNA(VLOOKUP(Tabla3[[#This Row],[DISPOSITIVO]],DISPOSITIVO[],2,0),"")</f>
        <v/>
      </c>
      <c r="S531" s="13" t="str">
        <f>_xlfn.IFNA(VLOOKUP(Tabla3[[#This Row],[PROTECCION SECUNDARIA]],PROTECCION_SECUNDARIA[],2,0),"")</f>
        <v/>
      </c>
      <c r="T531" s="13" t="str">
        <f>_xlfn.IFNA(VLOOKUP(Tabla3[[#This Row],[Que]],QUE[#All],2,0),"")</f>
        <v/>
      </c>
      <c r="U531" s="13" t="str">
        <f>_xlfn.IFNA(VLOOKUP(Tabla3[[#This Row],[Señal]],SEÑAL[#All],2,0),"")</f>
        <v/>
      </c>
      <c r="V531" s="13" t="str">
        <f>_xlfn.IFNA(VLOOKUP(Tabla3[[#This Row],[NUMERO]],SEÑAL[#All],2,0),"")</f>
        <v/>
      </c>
    </row>
    <row r="532" spans="1:22" x14ac:dyDescent="0.25">
      <c r="A532" s="26" t="s">
        <v>1316</v>
      </c>
      <c r="B532" s="2" t="s">
        <v>8</v>
      </c>
      <c r="C532" s="2" t="s">
        <v>89</v>
      </c>
      <c r="D532" s="2" t="s">
        <v>109</v>
      </c>
      <c r="E532" s="2" t="s">
        <v>1381</v>
      </c>
      <c r="J532"/>
      <c r="K532"/>
      <c r="L53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2" s="13" t="str">
        <f>VLOOKUP(Tabla3[[#This Row],[Tipo]],TIPO[#All],2,0)</f>
        <v>ET</v>
      </c>
      <c r="O532" s="13" t="str">
        <f>VLOOKUP(Tabla3[[#This Row],[Lugar]],LUGAR[#All],2,0)</f>
        <v>VMN</v>
      </c>
      <c r="P532" s="13" t="str">
        <f>Tabla3[[#This Row],[SIGLAS]]</f>
        <v>TR3</v>
      </c>
      <c r="Q532" s="13" t="str">
        <f>_xlfn.IFNA(VLOOKUP(Tabla3[[#This Row],[Nivel de tension]],NIVEL[#All],2,0),"")</f>
        <v/>
      </c>
      <c r="R532" s="13" t="str">
        <f>_xlfn.IFNA(VLOOKUP(Tabla3[[#This Row],[DISPOSITIVO]],DISPOSITIVO[],2,0),"")</f>
        <v/>
      </c>
      <c r="S532" s="13" t="str">
        <f>_xlfn.IFNA(VLOOKUP(Tabla3[[#This Row],[PROTECCION SECUNDARIA]],PROTECCION_SECUNDARIA[],2,0),"")</f>
        <v/>
      </c>
      <c r="T532" s="13" t="str">
        <f>_xlfn.IFNA(VLOOKUP(Tabla3[[#This Row],[Que]],QUE[#All],2,0),"")</f>
        <v/>
      </c>
      <c r="U532" s="13" t="str">
        <f>_xlfn.IFNA(VLOOKUP(Tabla3[[#This Row],[Señal]],SEÑAL[#All],2,0),"")</f>
        <v/>
      </c>
      <c r="V532" s="13" t="str">
        <f>_xlfn.IFNA(VLOOKUP(Tabla3[[#This Row],[NUMERO]],SEÑAL[#All],2,0),"")</f>
        <v/>
      </c>
    </row>
    <row r="533" spans="1:22" x14ac:dyDescent="0.25">
      <c r="A533" s="26" t="s">
        <v>1317</v>
      </c>
      <c r="B533" s="2" t="s">
        <v>8</v>
      </c>
      <c r="C533" s="2" t="s">
        <v>89</v>
      </c>
      <c r="D533" s="2" t="s">
        <v>109</v>
      </c>
      <c r="E533" s="2" t="s">
        <v>1381</v>
      </c>
      <c r="J533"/>
      <c r="K533"/>
      <c r="L53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3" s="13" t="str">
        <f>VLOOKUP(Tabla3[[#This Row],[Tipo]],TIPO[#All],2,0)</f>
        <v>ET</v>
      </c>
      <c r="O533" s="13" t="str">
        <f>VLOOKUP(Tabla3[[#This Row],[Lugar]],LUGAR[#All],2,0)</f>
        <v>VMN</v>
      </c>
      <c r="P533" s="13" t="str">
        <f>Tabla3[[#This Row],[SIGLAS]]</f>
        <v>TR3</v>
      </c>
      <c r="Q533" s="13" t="str">
        <f>_xlfn.IFNA(VLOOKUP(Tabla3[[#This Row],[Nivel de tension]],NIVEL[#All],2,0),"")</f>
        <v/>
      </c>
      <c r="R533" s="13" t="str">
        <f>_xlfn.IFNA(VLOOKUP(Tabla3[[#This Row],[DISPOSITIVO]],DISPOSITIVO[],2,0),"")</f>
        <v/>
      </c>
      <c r="S533" s="13" t="str">
        <f>_xlfn.IFNA(VLOOKUP(Tabla3[[#This Row],[PROTECCION SECUNDARIA]],PROTECCION_SECUNDARIA[],2,0),"")</f>
        <v/>
      </c>
      <c r="T533" s="13" t="str">
        <f>_xlfn.IFNA(VLOOKUP(Tabla3[[#This Row],[Que]],QUE[#All],2,0),"")</f>
        <v/>
      </c>
      <c r="U533" s="13" t="str">
        <f>_xlfn.IFNA(VLOOKUP(Tabla3[[#This Row],[Señal]],SEÑAL[#All],2,0),"")</f>
        <v/>
      </c>
      <c r="V533" s="13" t="str">
        <f>_xlfn.IFNA(VLOOKUP(Tabla3[[#This Row],[NUMERO]],SEÑAL[#All],2,0),"")</f>
        <v/>
      </c>
    </row>
    <row r="534" spans="1:22" x14ac:dyDescent="0.25">
      <c r="A534" s="26" t="s">
        <v>1318</v>
      </c>
      <c r="B534" s="2" t="s">
        <v>8</v>
      </c>
      <c r="C534" s="2" t="s">
        <v>89</v>
      </c>
      <c r="D534" s="2" t="s">
        <v>109</v>
      </c>
      <c r="E534" s="2" t="s">
        <v>1381</v>
      </c>
      <c r="J534"/>
      <c r="K534"/>
      <c r="L53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4" s="13" t="str">
        <f>VLOOKUP(Tabla3[[#This Row],[Tipo]],TIPO[#All],2,0)</f>
        <v>ET</v>
      </c>
      <c r="O534" s="13" t="str">
        <f>VLOOKUP(Tabla3[[#This Row],[Lugar]],LUGAR[#All],2,0)</f>
        <v>VMN</v>
      </c>
      <c r="P534" s="13" t="str">
        <f>Tabla3[[#This Row],[SIGLAS]]</f>
        <v>TR3</v>
      </c>
      <c r="Q534" s="13" t="str">
        <f>_xlfn.IFNA(VLOOKUP(Tabla3[[#This Row],[Nivel de tension]],NIVEL[#All],2,0),"")</f>
        <v/>
      </c>
      <c r="R534" s="13" t="str">
        <f>_xlfn.IFNA(VLOOKUP(Tabla3[[#This Row],[DISPOSITIVO]],DISPOSITIVO[],2,0),"")</f>
        <v/>
      </c>
      <c r="S534" s="13" t="str">
        <f>_xlfn.IFNA(VLOOKUP(Tabla3[[#This Row],[PROTECCION SECUNDARIA]],PROTECCION_SECUNDARIA[],2,0),"")</f>
        <v/>
      </c>
      <c r="T534" s="13" t="str">
        <f>_xlfn.IFNA(VLOOKUP(Tabla3[[#This Row],[Que]],QUE[#All],2,0),"")</f>
        <v/>
      </c>
      <c r="U534" s="13" t="str">
        <f>_xlfn.IFNA(VLOOKUP(Tabla3[[#This Row],[Señal]],SEÑAL[#All],2,0),"")</f>
        <v/>
      </c>
      <c r="V534" s="13" t="str">
        <f>_xlfn.IFNA(VLOOKUP(Tabla3[[#This Row],[NUMERO]],SEÑAL[#All],2,0),"")</f>
        <v/>
      </c>
    </row>
    <row r="535" spans="1:22" x14ac:dyDescent="0.25">
      <c r="A535" s="26" t="s">
        <v>1319</v>
      </c>
      <c r="B535" s="2" t="s">
        <v>8</v>
      </c>
      <c r="C535" s="2" t="s">
        <v>89</v>
      </c>
      <c r="D535" s="2" t="s">
        <v>109</v>
      </c>
      <c r="E535" s="2" t="s">
        <v>1381</v>
      </c>
      <c r="J535"/>
      <c r="K535"/>
      <c r="L53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5" s="13" t="str">
        <f>VLOOKUP(Tabla3[[#This Row],[Tipo]],TIPO[#All],2,0)</f>
        <v>ET</v>
      </c>
      <c r="O535" s="13" t="str">
        <f>VLOOKUP(Tabla3[[#This Row],[Lugar]],LUGAR[#All],2,0)</f>
        <v>VMN</v>
      </c>
      <c r="P535" s="13" t="str">
        <f>Tabla3[[#This Row],[SIGLAS]]</f>
        <v>TR3</v>
      </c>
      <c r="Q535" s="13" t="str">
        <f>_xlfn.IFNA(VLOOKUP(Tabla3[[#This Row],[Nivel de tension]],NIVEL[#All],2,0),"")</f>
        <v/>
      </c>
      <c r="R535" s="13" t="str">
        <f>_xlfn.IFNA(VLOOKUP(Tabla3[[#This Row],[DISPOSITIVO]],DISPOSITIVO[],2,0),"")</f>
        <v/>
      </c>
      <c r="S535" s="13" t="str">
        <f>_xlfn.IFNA(VLOOKUP(Tabla3[[#This Row],[PROTECCION SECUNDARIA]],PROTECCION_SECUNDARIA[],2,0),"")</f>
        <v/>
      </c>
      <c r="T535" s="13" t="str">
        <f>_xlfn.IFNA(VLOOKUP(Tabla3[[#This Row],[Que]],QUE[#All],2,0),"")</f>
        <v/>
      </c>
      <c r="U535" s="13" t="str">
        <f>_xlfn.IFNA(VLOOKUP(Tabla3[[#This Row],[Señal]],SEÑAL[#All],2,0),"")</f>
        <v/>
      </c>
      <c r="V535" s="13" t="str">
        <f>_xlfn.IFNA(VLOOKUP(Tabla3[[#This Row],[NUMERO]],SEÑAL[#All],2,0),"")</f>
        <v/>
      </c>
    </row>
    <row r="536" spans="1:22" x14ac:dyDescent="0.25">
      <c r="A536" s="26" t="s">
        <v>1320</v>
      </c>
      <c r="B536" s="2" t="s">
        <v>8</v>
      </c>
      <c r="C536" s="2" t="s">
        <v>89</v>
      </c>
      <c r="D536" s="2" t="s">
        <v>109</v>
      </c>
      <c r="E536" s="2" t="s">
        <v>1381</v>
      </c>
      <c r="J536"/>
      <c r="K536"/>
      <c r="L53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6" s="13" t="str">
        <f>VLOOKUP(Tabla3[[#This Row],[Tipo]],TIPO[#All],2,0)</f>
        <v>ET</v>
      </c>
      <c r="O536" s="13" t="str">
        <f>VLOOKUP(Tabla3[[#This Row],[Lugar]],LUGAR[#All],2,0)</f>
        <v>VMN</v>
      </c>
      <c r="P536" s="13" t="str">
        <f>Tabla3[[#This Row],[SIGLAS]]</f>
        <v>TR3</v>
      </c>
      <c r="Q536" s="13" t="str">
        <f>_xlfn.IFNA(VLOOKUP(Tabla3[[#This Row],[Nivel de tension]],NIVEL[#All],2,0),"")</f>
        <v/>
      </c>
      <c r="R536" s="13" t="str">
        <f>_xlfn.IFNA(VLOOKUP(Tabla3[[#This Row],[DISPOSITIVO]],DISPOSITIVO[],2,0),"")</f>
        <v/>
      </c>
      <c r="S536" s="13" t="str">
        <f>_xlfn.IFNA(VLOOKUP(Tabla3[[#This Row],[PROTECCION SECUNDARIA]],PROTECCION_SECUNDARIA[],2,0),"")</f>
        <v/>
      </c>
      <c r="T536" s="13" t="str">
        <f>_xlfn.IFNA(VLOOKUP(Tabla3[[#This Row],[Que]],QUE[#All],2,0),"")</f>
        <v/>
      </c>
      <c r="U536" s="13" t="str">
        <f>_xlfn.IFNA(VLOOKUP(Tabla3[[#This Row],[Señal]],SEÑAL[#All],2,0),"")</f>
        <v/>
      </c>
      <c r="V536" s="13" t="str">
        <f>_xlfn.IFNA(VLOOKUP(Tabla3[[#This Row],[NUMERO]],SEÑAL[#All],2,0),"")</f>
        <v/>
      </c>
    </row>
    <row r="537" spans="1:22" x14ac:dyDescent="0.25">
      <c r="A537" s="26" t="s">
        <v>1321</v>
      </c>
      <c r="B537" s="2" t="s">
        <v>8</v>
      </c>
      <c r="C537" s="2" t="s">
        <v>89</v>
      </c>
      <c r="D537" s="2" t="s">
        <v>109</v>
      </c>
      <c r="E537" s="2" t="s">
        <v>1381</v>
      </c>
      <c r="J537"/>
      <c r="K537"/>
      <c r="L53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7" s="13" t="str">
        <f>VLOOKUP(Tabla3[[#This Row],[Tipo]],TIPO[#All],2,0)</f>
        <v>ET</v>
      </c>
      <c r="O537" s="13" t="str">
        <f>VLOOKUP(Tabla3[[#This Row],[Lugar]],LUGAR[#All],2,0)</f>
        <v>VMN</v>
      </c>
      <c r="P537" s="13" t="str">
        <f>Tabla3[[#This Row],[SIGLAS]]</f>
        <v>TR3</v>
      </c>
      <c r="Q537" s="13" t="str">
        <f>_xlfn.IFNA(VLOOKUP(Tabla3[[#This Row],[Nivel de tension]],NIVEL[#All],2,0),"")</f>
        <v/>
      </c>
      <c r="R537" s="13" t="str">
        <f>_xlfn.IFNA(VLOOKUP(Tabla3[[#This Row],[DISPOSITIVO]],DISPOSITIVO[],2,0),"")</f>
        <v/>
      </c>
      <c r="S537" s="13" t="str">
        <f>_xlfn.IFNA(VLOOKUP(Tabla3[[#This Row],[PROTECCION SECUNDARIA]],PROTECCION_SECUNDARIA[],2,0),"")</f>
        <v/>
      </c>
      <c r="T537" s="13" t="str">
        <f>_xlfn.IFNA(VLOOKUP(Tabla3[[#This Row],[Que]],QUE[#All],2,0),"")</f>
        <v/>
      </c>
      <c r="U537" s="13" t="str">
        <f>_xlfn.IFNA(VLOOKUP(Tabla3[[#This Row],[Señal]],SEÑAL[#All],2,0),"")</f>
        <v/>
      </c>
      <c r="V537" s="13" t="str">
        <f>_xlfn.IFNA(VLOOKUP(Tabla3[[#This Row],[NUMERO]],SEÑAL[#All],2,0),"")</f>
        <v/>
      </c>
    </row>
    <row r="538" spans="1:22" x14ac:dyDescent="0.25">
      <c r="A538" s="26" t="s">
        <v>1322</v>
      </c>
      <c r="B538" s="2" t="s">
        <v>8</v>
      </c>
      <c r="C538" s="2" t="s">
        <v>89</v>
      </c>
      <c r="D538" s="2" t="s">
        <v>109</v>
      </c>
      <c r="E538" s="2" t="s">
        <v>1381</v>
      </c>
      <c r="J538"/>
      <c r="K538"/>
      <c r="L53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8" s="13" t="str">
        <f>VLOOKUP(Tabla3[[#This Row],[Tipo]],TIPO[#All],2,0)</f>
        <v>ET</v>
      </c>
      <c r="O538" s="13" t="str">
        <f>VLOOKUP(Tabla3[[#This Row],[Lugar]],LUGAR[#All],2,0)</f>
        <v>VMN</v>
      </c>
      <c r="P538" s="13" t="str">
        <f>Tabla3[[#This Row],[SIGLAS]]</f>
        <v>TR3</v>
      </c>
      <c r="Q538" s="13" t="str">
        <f>_xlfn.IFNA(VLOOKUP(Tabla3[[#This Row],[Nivel de tension]],NIVEL[#All],2,0),"")</f>
        <v/>
      </c>
      <c r="R538" s="13" t="str">
        <f>_xlfn.IFNA(VLOOKUP(Tabla3[[#This Row],[DISPOSITIVO]],DISPOSITIVO[],2,0),"")</f>
        <v/>
      </c>
      <c r="S538" s="13" t="str">
        <f>_xlfn.IFNA(VLOOKUP(Tabla3[[#This Row],[PROTECCION SECUNDARIA]],PROTECCION_SECUNDARIA[],2,0),"")</f>
        <v/>
      </c>
      <c r="T538" s="13" t="str">
        <f>_xlfn.IFNA(VLOOKUP(Tabla3[[#This Row],[Que]],QUE[#All],2,0),"")</f>
        <v/>
      </c>
      <c r="U538" s="13" t="str">
        <f>_xlfn.IFNA(VLOOKUP(Tabla3[[#This Row],[Señal]],SEÑAL[#All],2,0),"")</f>
        <v/>
      </c>
      <c r="V538" s="13" t="str">
        <f>_xlfn.IFNA(VLOOKUP(Tabla3[[#This Row],[NUMERO]],SEÑAL[#All],2,0),"")</f>
        <v/>
      </c>
    </row>
    <row r="539" spans="1:22" x14ac:dyDescent="0.25">
      <c r="A539" s="26" t="s">
        <v>1323</v>
      </c>
      <c r="B539" s="2" t="s">
        <v>8</v>
      </c>
      <c r="C539" s="2" t="s">
        <v>89</v>
      </c>
      <c r="D539" s="2" t="s">
        <v>109</v>
      </c>
      <c r="E539" s="2" t="s">
        <v>1381</v>
      </c>
      <c r="J539"/>
      <c r="K539"/>
      <c r="L53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39" s="13" t="str">
        <f>VLOOKUP(Tabla3[[#This Row],[Tipo]],TIPO[#All],2,0)</f>
        <v>ET</v>
      </c>
      <c r="O539" s="13" t="str">
        <f>VLOOKUP(Tabla3[[#This Row],[Lugar]],LUGAR[#All],2,0)</f>
        <v>VMN</v>
      </c>
      <c r="P539" s="13" t="str">
        <f>Tabla3[[#This Row],[SIGLAS]]</f>
        <v>TR3</v>
      </c>
      <c r="Q539" s="13" t="str">
        <f>_xlfn.IFNA(VLOOKUP(Tabla3[[#This Row],[Nivel de tension]],NIVEL[#All],2,0),"")</f>
        <v/>
      </c>
      <c r="R539" s="13" t="str">
        <f>_xlfn.IFNA(VLOOKUP(Tabla3[[#This Row],[DISPOSITIVO]],DISPOSITIVO[],2,0),"")</f>
        <v/>
      </c>
      <c r="S539" s="13" t="str">
        <f>_xlfn.IFNA(VLOOKUP(Tabla3[[#This Row],[PROTECCION SECUNDARIA]],PROTECCION_SECUNDARIA[],2,0),"")</f>
        <v/>
      </c>
      <c r="T539" s="13" t="str">
        <f>_xlfn.IFNA(VLOOKUP(Tabla3[[#This Row],[Que]],QUE[#All],2,0),"")</f>
        <v/>
      </c>
      <c r="U539" s="13" t="str">
        <f>_xlfn.IFNA(VLOOKUP(Tabla3[[#This Row],[Señal]],SEÑAL[#All],2,0),"")</f>
        <v/>
      </c>
      <c r="V539" s="13" t="str">
        <f>_xlfn.IFNA(VLOOKUP(Tabla3[[#This Row],[NUMERO]],SEÑAL[#All],2,0),"")</f>
        <v/>
      </c>
    </row>
    <row r="540" spans="1:22" x14ac:dyDescent="0.25">
      <c r="A540" s="26" t="s">
        <v>1324</v>
      </c>
      <c r="B540" s="2" t="s">
        <v>8</v>
      </c>
      <c r="C540" s="2" t="s">
        <v>89</v>
      </c>
      <c r="D540" s="2" t="s">
        <v>109</v>
      </c>
      <c r="E540" s="2" t="s">
        <v>1381</v>
      </c>
      <c r="J540"/>
      <c r="K540"/>
      <c r="L54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0" s="13" t="str">
        <f>VLOOKUP(Tabla3[[#This Row],[Tipo]],TIPO[#All],2,0)</f>
        <v>ET</v>
      </c>
      <c r="O540" s="13" t="str">
        <f>VLOOKUP(Tabla3[[#This Row],[Lugar]],LUGAR[#All],2,0)</f>
        <v>VMN</v>
      </c>
      <c r="P540" s="13" t="str">
        <f>Tabla3[[#This Row],[SIGLAS]]</f>
        <v>TR3</v>
      </c>
      <c r="Q540" s="13" t="str">
        <f>_xlfn.IFNA(VLOOKUP(Tabla3[[#This Row],[Nivel de tension]],NIVEL[#All],2,0),"")</f>
        <v/>
      </c>
      <c r="R540" s="13" t="str">
        <f>_xlfn.IFNA(VLOOKUP(Tabla3[[#This Row],[DISPOSITIVO]],DISPOSITIVO[],2,0),"")</f>
        <v/>
      </c>
      <c r="S540" s="13" t="str">
        <f>_xlfn.IFNA(VLOOKUP(Tabla3[[#This Row],[PROTECCION SECUNDARIA]],PROTECCION_SECUNDARIA[],2,0),"")</f>
        <v/>
      </c>
      <c r="T540" s="13" t="str">
        <f>_xlfn.IFNA(VLOOKUP(Tabla3[[#This Row],[Que]],QUE[#All],2,0),"")</f>
        <v/>
      </c>
      <c r="U540" s="13" t="str">
        <f>_xlfn.IFNA(VLOOKUP(Tabla3[[#This Row],[Señal]],SEÑAL[#All],2,0),"")</f>
        <v/>
      </c>
      <c r="V540" s="13" t="str">
        <f>_xlfn.IFNA(VLOOKUP(Tabla3[[#This Row],[NUMERO]],SEÑAL[#All],2,0),"")</f>
        <v/>
      </c>
    </row>
    <row r="541" spans="1:22" x14ac:dyDescent="0.25">
      <c r="A541" s="26" t="s">
        <v>1325</v>
      </c>
      <c r="B541" s="2" t="s">
        <v>8</v>
      </c>
      <c r="C541" s="2" t="s">
        <v>89</v>
      </c>
      <c r="D541" s="2" t="s">
        <v>109</v>
      </c>
      <c r="E541" s="2" t="s">
        <v>1381</v>
      </c>
      <c r="J541"/>
      <c r="K541"/>
      <c r="L54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1" s="13" t="str">
        <f>VLOOKUP(Tabla3[[#This Row],[Tipo]],TIPO[#All],2,0)</f>
        <v>ET</v>
      </c>
      <c r="O541" s="13" t="str">
        <f>VLOOKUP(Tabla3[[#This Row],[Lugar]],LUGAR[#All],2,0)</f>
        <v>VMN</v>
      </c>
      <c r="P541" s="13" t="str">
        <f>Tabla3[[#This Row],[SIGLAS]]</f>
        <v>TR3</v>
      </c>
      <c r="Q541" s="13" t="str">
        <f>_xlfn.IFNA(VLOOKUP(Tabla3[[#This Row],[Nivel de tension]],NIVEL[#All],2,0),"")</f>
        <v/>
      </c>
      <c r="R541" s="13" t="str">
        <f>_xlfn.IFNA(VLOOKUP(Tabla3[[#This Row],[DISPOSITIVO]],DISPOSITIVO[],2,0),"")</f>
        <v/>
      </c>
      <c r="S541" s="13" t="str">
        <f>_xlfn.IFNA(VLOOKUP(Tabla3[[#This Row],[PROTECCION SECUNDARIA]],PROTECCION_SECUNDARIA[],2,0),"")</f>
        <v/>
      </c>
      <c r="T541" s="13" t="str">
        <f>_xlfn.IFNA(VLOOKUP(Tabla3[[#This Row],[Que]],QUE[#All],2,0),"")</f>
        <v/>
      </c>
      <c r="U541" s="13" t="str">
        <f>_xlfn.IFNA(VLOOKUP(Tabla3[[#This Row],[Señal]],SEÑAL[#All],2,0),"")</f>
        <v/>
      </c>
      <c r="V541" s="13" t="str">
        <f>_xlfn.IFNA(VLOOKUP(Tabla3[[#This Row],[NUMERO]],SEÑAL[#All],2,0),"")</f>
        <v/>
      </c>
    </row>
    <row r="542" spans="1:22" x14ac:dyDescent="0.25">
      <c r="A542" s="26" t="s">
        <v>1326</v>
      </c>
      <c r="B542" s="2" t="s">
        <v>8</v>
      </c>
      <c r="C542" s="2" t="s">
        <v>89</v>
      </c>
      <c r="D542" s="2" t="s">
        <v>109</v>
      </c>
      <c r="E542" s="2" t="s">
        <v>1381</v>
      </c>
      <c r="J542"/>
      <c r="K542"/>
      <c r="L54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2" s="13" t="str">
        <f>VLOOKUP(Tabla3[[#This Row],[Tipo]],TIPO[#All],2,0)</f>
        <v>ET</v>
      </c>
      <c r="O542" s="13" t="str">
        <f>VLOOKUP(Tabla3[[#This Row],[Lugar]],LUGAR[#All],2,0)</f>
        <v>VMN</v>
      </c>
      <c r="P542" s="13" t="str">
        <f>Tabla3[[#This Row],[SIGLAS]]</f>
        <v>TR3</v>
      </c>
      <c r="Q542" s="13" t="str">
        <f>_xlfn.IFNA(VLOOKUP(Tabla3[[#This Row],[Nivel de tension]],NIVEL[#All],2,0),"")</f>
        <v/>
      </c>
      <c r="R542" s="13" t="str">
        <f>_xlfn.IFNA(VLOOKUP(Tabla3[[#This Row],[DISPOSITIVO]],DISPOSITIVO[],2,0),"")</f>
        <v/>
      </c>
      <c r="S542" s="13" t="str">
        <f>_xlfn.IFNA(VLOOKUP(Tabla3[[#This Row],[PROTECCION SECUNDARIA]],PROTECCION_SECUNDARIA[],2,0),"")</f>
        <v/>
      </c>
      <c r="T542" s="13" t="str">
        <f>_xlfn.IFNA(VLOOKUP(Tabla3[[#This Row],[Que]],QUE[#All],2,0),"")</f>
        <v/>
      </c>
      <c r="U542" s="13" t="str">
        <f>_xlfn.IFNA(VLOOKUP(Tabla3[[#This Row],[Señal]],SEÑAL[#All],2,0),"")</f>
        <v/>
      </c>
      <c r="V542" s="13" t="str">
        <f>_xlfn.IFNA(VLOOKUP(Tabla3[[#This Row],[NUMERO]],SEÑAL[#All],2,0),"")</f>
        <v/>
      </c>
    </row>
    <row r="543" spans="1:22" x14ac:dyDescent="0.25">
      <c r="A543" s="26" t="s">
        <v>1327</v>
      </c>
      <c r="B543" s="2" t="s">
        <v>8</v>
      </c>
      <c r="C543" s="2" t="s">
        <v>89</v>
      </c>
      <c r="D543" s="2" t="s">
        <v>109</v>
      </c>
      <c r="E543" s="2" t="s">
        <v>1381</v>
      </c>
      <c r="J543"/>
      <c r="K543"/>
      <c r="L54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3" s="13" t="str">
        <f>VLOOKUP(Tabla3[[#This Row],[Tipo]],TIPO[#All],2,0)</f>
        <v>ET</v>
      </c>
      <c r="O543" s="13" t="str">
        <f>VLOOKUP(Tabla3[[#This Row],[Lugar]],LUGAR[#All],2,0)</f>
        <v>VMN</v>
      </c>
      <c r="P543" s="13" t="str">
        <f>Tabla3[[#This Row],[SIGLAS]]</f>
        <v>TR3</v>
      </c>
      <c r="Q543" s="13" t="str">
        <f>_xlfn.IFNA(VLOOKUP(Tabla3[[#This Row],[Nivel de tension]],NIVEL[#All],2,0),"")</f>
        <v/>
      </c>
      <c r="R543" s="13" t="str">
        <f>_xlfn.IFNA(VLOOKUP(Tabla3[[#This Row],[DISPOSITIVO]],DISPOSITIVO[],2,0),"")</f>
        <v/>
      </c>
      <c r="S543" s="13" t="str">
        <f>_xlfn.IFNA(VLOOKUP(Tabla3[[#This Row],[PROTECCION SECUNDARIA]],PROTECCION_SECUNDARIA[],2,0),"")</f>
        <v/>
      </c>
      <c r="T543" s="13" t="str">
        <f>_xlfn.IFNA(VLOOKUP(Tabla3[[#This Row],[Que]],QUE[#All],2,0),"")</f>
        <v/>
      </c>
      <c r="U543" s="13" t="str">
        <f>_xlfn.IFNA(VLOOKUP(Tabla3[[#This Row],[Señal]],SEÑAL[#All],2,0),"")</f>
        <v/>
      </c>
      <c r="V543" s="13" t="str">
        <f>_xlfn.IFNA(VLOOKUP(Tabla3[[#This Row],[NUMERO]],SEÑAL[#All],2,0),"")</f>
        <v/>
      </c>
    </row>
    <row r="544" spans="1:22" x14ac:dyDescent="0.25">
      <c r="A544" s="26" t="s">
        <v>1328</v>
      </c>
      <c r="B544" s="2" t="s">
        <v>8</v>
      </c>
      <c r="C544" s="2" t="s">
        <v>89</v>
      </c>
      <c r="D544" s="2" t="s">
        <v>109</v>
      </c>
      <c r="E544" s="2" t="s">
        <v>1381</v>
      </c>
      <c r="J544"/>
      <c r="K544"/>
      <c r="L54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4" s="13" t="str">
        <f>VLOOKUP(Tabla3[[#This Row],[Tipo]],TIPO[#All],2,0)</f>
        <v>ET</v>
      </c>
      <c r="O544" s="13" t="str">
        <f>VLOOKUP(Tabla3[[#This Row],[Lugar]],LUGAR[#All],2,0)</f>
        <v>VMN</v>
      </c>
      <c r="P544" s="13" t="str">
        <f>Tabla3[[#This Row],[SIGLAS]]</f>
        <v>TR3</v>
      </c>
      <c r="Q544" s="13" t="str">
        <f>_xlfn.IFNA(VLOOKUP(Tabla3[[#This Row],[Nivel de tension]],NIVEL[#All],2,0),"")</f>
        <v/>
      </c>
      <c r="R544" s="13" t="str">
        <f>_xlfn.IFNA(VLOOKUP(Tabla3[[#This Row],[DISPOSITIVO]],DISPOSITIVO[],2,0),"")</f>
        <v/>
      </c>
      <c r="S544" s="13" t="str">
        <f>_xlfn.IFNA(VLOOKUP(Tabla3[[#This Row],[PROTECCION SECUNDARIA]],PROTECCION_SECUNDARIA[],2,0),"")</f>
        <v/>
      </c>
      <c r="T544" s="13" t="str">
        <f>_xlfn.IFNA(VLOOKUP(Tabla3[[#This Row],[Que]],QUE[#All],2,0),"")</f>
        <v/>
      </c>
      <c r="U544" s="13" t="str">
        <f>_xlfn.IFNA(VLOOKUP(Tabla3[[#This Row],[Señal]],SEÑAL[#All],2,0),"")</f>
        <v/>
      </c>
      <c r="V544" s="13" t="str">
        <f>_xlfn.IFNA(VLOOKUP(Tabla3[[#This Row],[NUMERO]],SEÑAL[#All],2,0),"")</f>
        <v/>
      </c>
    </row>
    <row r="545" spans="1:22" x14ac:dyDescent="0.25">
      <c r="A545" s="26" t="s">
        <v>1329</v>
      </c>
      <c r="B545" s="2" t="s">
        <v>8</v>
      </c>
      <c r="C545" s="2" t="s">
        <v>89</v>
      </c>
      <c r="D545" s="2" t="s">
        <v>109</v>
      </c>
      <c r="E545" s="2" t="s">
        <v>1381</v>
      </c>
      <c r="J545"/>
      <c r="K545"/>
      <c r="L54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5" s="13" t="str">
        <f>VLOOKUP(Tabla3[[#This Row],[Tipo]],TIPO[#All],2,0)</f>
        <v>ET</v>
      </c>
      <c r="O545" s="13" t="str">
        <f>VLOOKUP(Tabla3[[#This Row],[Lugar]],LUGAR[#All],2,0)</f>
        <v>VMN</v>
      </c>
      <c r="P545" s="13" t="str">
        <f>Tabla3[[#This Row],[SIGLAS]]</f>
        <v>TR3</v>
      </c>
      <c r="Q545" s="13" t="str">
        <f>_xlfn.IFNA(VLOOKUP(Tabla3[[#This Row],[Nivel de tension]],NIVEL[#All],2,0),"")</f>
        <v/>
      </c>
      <c r="R545" s="13" t="str">
        <f>_xlfn.IFNA(VLOOKUP(Tabla3[[#This Row],[DISPOSITIVO]],DISPOSITIVO[],2,0),"")</f>
        <v/>
      </c>
      <c r="S545" s="13" t="str">
        <f>_xlfn.IFNA(VLOOKUP(Tabla3[[#This Row],[PROTECCION SECUNDARIA]],PROTECCION_SECUNDARIA[],2,0),"")</f>
        <v/>
      </c>
      <c r="T545" s="13" t="str">
        <f>_xlfn.IFNA(VLOOKUP(Tabla3[[#This Row],[Que]],QUE[#All],2,0),"")</f>
        <v/>
      </c>
      <c r="U545" s="13" t="str">
        <f>_xlfn.IFNA(VLOOKUP(Tabla3[[#This Row],[Señal]],SEÑAL[#All],2,0),"")</f>
        <v/>
      </c>
      <c r="V545" s="13" t="str">
        <f>_xlfn.IFNA(VLOOKUP(Tabla3[[#This Row],[NUMERO]],SEÑAL[#All],2,0),"")</f>
        <v/>
      </c>
    </row>
    <row r="546" spans="1:22" x14ac:dyDescent="0.25">
      <c r="A546" s="26" t="s">
        <v>1330</v>
      </c>
      <c r="B546" s="2" t="s">
        <v>8</v>
      </c>
      <c r="C546" s="2" t="s">
        <v>89</v>
      </c>
      <c r="D546" s="2" t="s">
        <v>109</v>
      </c>
      <c r="E546" s="2" t="s">
        <v>1381</v>
      </c>
      <c r="J546"/>
      <c r="K546"/>
      <c r="L54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6" s="13" t="str">
        <f>VLOOKUP(Tabla3[[#This Row],[Tipo]],TIPO[#All],2,0)</f>
        <v>ET</v>
      </c>
      <c r="O546" s="13" t="str">
        <f>VLOOKUP(Tabla3[[#This Row],[Lugar]],LUGAR[#All],2,0)</f>
        <v>VMN</v>
      </c>
      <c r="P546" s="13" t="str">
        <f>Tabla3[[#This Row],[SIGLAS]]</f>
        <v>TR3</v>
      </c>
      <c r="Q546" s="13" t="str">
        <f>_xlfn.IFNA(VLOOKUP(Tabla3[[#This Row],[Nivel de tension]],NIVEL[#All],2,0),"")</f>
        <v/>
      </c>
      <c r="R546" s="13" t="str">
        <f>_xlfn.IFNA(VLOOKUP(Tabla3[[#This Row],[DISPOSITIVO]],DISPOSITIVO[],2,0),"")</f>
        <v/>
      </c>
      <c r="S546" s="13" t="str">
        <f>_xlfn.IFNA(VLOOKUP(Tabla3[[#This Row],[PROTECCION SECUNDARIA]],PROTECCION_SECUNDARIA[],2,0),"")</f>
        <v/>
      </c>
      <c r="T546" s="13" t="str">
        <f>_xlfn.IFNA(VLOOKUP(Tabla3[[#This Row],[Que]],QUE[#All],2,0),"")</f>
        <v/>
      </c>
      <c r="U546" s="13" t="str">
        <f>_xlfn.IFNA(VLOOKUP(Tabla3[[#This Row],[Señal]],SEÑAL[#All],2,0),"")</f>
        <v/>
      </c>
      <c r="V546" s="13" t="str">
        <f>_xlfn.IFNA(VLOOKUP(Tabla3[[#This Row],[NUMERO]],SEÑAL[#All],2,0),"")</f>
        <v/>
      </c>
    </row>
    <row r="547" spans="1:22" x14ac:dyDescent="0.25">
      <c r="A547" s="26" t="s">
        <v>1331</v>
      </c>
      <c r="B547" s="2" t="s">
        <v>8</v>
      </c>
      <c r="C547" s="2" t="s">
        <v>89</v>
      </c>
      <c r="D547" s="2" t="s">
        <v>109</v>
      </c>
      <c r="E547" s="2" t="s">
        <v>1381</v>
      </c>
      <c r="J547"/>
      <c r="K547"/>
      <c r="L54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7" s="13" t="str">
        <f>VLOOKUP(Tabla3[[#This Row],[Tipo]],TIPO[#All],2,0)</f>
        <v>ET</v>
      </c>
      <c r="O547" s="13" t="str">
        <f>VLOOKUP(Tabla3[[#This Row],[Lugar]],LUGAR[#All],2,0)</f>
        <v>VMN</v>
      </c>
      <c r="P547" s="13" t="str">
        <f>Tabla3[[#This Row],[SIGLAS]]</f>
        <v>TR3</v>
      </c>
      <c r="Q547" s="13" t="str">
        <f>_xlfn.IFNA(VLOOKUP(Tabla3[[#This Row],[Nivel de tension]],NIVEL[#All],2,0),"")</f>
        <v/>
      </c>
      <c r="R547" s="13" t="str">
        <f>_xlfn.IFNA(VLOOKUP(Tabla3[[#This Row],[DISPOSITIVO]],DISPOSITIVO[],2,0),"")</f>
        <v/>
      </c>
      <c r="S547" s="13" t="str">
        <f>_xlfn.IFNA(VLOOKUP(Tabla3[[#This Row],[PROTECCION SECUNDARIA]],PROTECCION_SECUNDARIA[],2,0),"")</f>
        <v/>
      </c>
      <c r="T547" s="13" t="str">
        <f>_xlfn.IFNA(VLOOKUP(Tabla3[[#This Row],[Que]],QUE[#All],2,0),"")</f>
        <v/>
      </c>
      <c r="U547" s="13" t="str">
        <f>_xlfn.IFNA(VLOOKUP(Tabla3[[#This Row],[Señal]],SEÑAL[#All],2,0),"")</f>
        <v/>
      </c>
      <c r="V547" s="13" t="str">
        <f>_xlfn.IFNA(VLOOKUP(Tabla3[[#This Row],[NUMERO]],SEÑAL[#All],2,0),"")</f>
        <v/>
      </c>
    </row>
    <row r="548" spans="1:22" x14ac:dyDescent="0.25">
      <c r="A548" s="26" t="s">
        <v>1332</v>
      </c>
      <c r="B548" s="2" t="s">
        <v>8</v>
      </c>
      <c r="C548" s="2" t="s">
        <v>89</v>
      </c>
      <c r="D548" s="2" t="s">
        <v>109</v>
      </c>
      <c r="E548" s="2" t="s">
        <v>1381</v>
      </c>
      <c r="J548"/>
      <c r="K548"/>
      <c r="L54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8" s="13" t="str">
        <f>VLOOKUP(Tabla3[[#This Row],[Tipo]],TIPO[#All],2,0)</f>
        <v>ET</v>
      </c>
      <c r="O548" s="13" t="str">
        <f>VLOOKUP(Tabla3[[#This Row],[Lugar]],LUGAR[#All],2,0)</f>
        <v>VMN</v>
      </c>
      <c r="P548" s="13" t="str">
        <f>Tabla3[[#This Row],[SIGLAS]]</f>
        <v>TR3</v>
      </c>
      <c r="Q548" s="13" t="str">
        <f>_xlfn.IFNA(VLOOKUP(Tabla3[[#This Row],[Nivel de tension]],NIVEL[#All],2,0),"")</f>
        <v/>
      </c>
      <c r="R548" s="13" t="str">
        <f>_xlfn.IFNA(VLOOKUP(Tabla3[[#This Row],[DISPOSITIVO]],DISPOSITIVO[],2,0),"")</f>
        <v/>
      </c>
      <c r="S548" s="13" t="str">
        <f>_xlfn.IFNA(VLOOKUP(Tabla3[[#This Row],[PROTECCION SECUNDARIA]],PROTECCION_SECUNDARIA[],2,0),"")</f>
        <v/>
      </c>
      <c r="T548" s="13" t="str">
        <f>_xlfn.IFNA(VLOOKUP(Tabla3[[#This Row],[Que]],QUE[#All],2,0),"")</f>
        <v/>
      </c>
      <c r="U548" s="13" t="str">
        <f>_xlfn.IFNA(VLOOKUP(Tabla3[[#This Row],[Señal]],SEÑAL[#All],2,0),"")</f>
        <v/>
      </c>
      <c r="V548" s="13" t="str">
        <f>_xlfn.IFNA(VLOOKUP(Tabla3[[#This Row],[NUMERO]],SEÑAL[#All],2,0),"")</f>
        <v/>
      </c>
    </row>
    <row r="549" spans="1:22" x14ac:dyDescent="0.25">
      <c r="A549" s="26" t="s">
        <v>1333</v>
      </c>
      <c r="B549" s="2" t="s">
        <v>8</v>
      </c>
      <c r="C549" s="2" t="s">
        <v>89</v>
      </c>
      <c r="D549" s="2" t="s">
        <v>109</v>
      </c>
      <c r="E549" s="2" t="s">
        <v>1381</v>
      </c>
      <c r="J549"/>
      <c r="K549"/>
      <c r="L54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49" s="13" t="str">
        <f>VLOOKUP(Tabla3[[#This Row],[Tipo]],TIPO[#All],2,0)</f>
        <v>ET</v>
      </c>
      <c r="O549" s="13" t="str">
        <f>VLOOKUP(Tabla3[[#This Row],[Lugar]],LUGAR[#All],2,0)</f>
        <v>VMN</v>
      </c>
      <c r="P549" s="13" t="str">
        <f>Tabla3[[#This Row],[SIGLAS]]</f>
        <v>TR3</v>
      </c>
      <c r="Q549" s="13" t="str">
        <f>_xlfn.IFNA(VLOOKUP(Tabla3[[#This Row],[Nivel de tension]],NIVEL[#All],2,0),"")</f>
        <v/>
      </c>
      <c r="R549" s="13" t="str">
        <f>_xlfn.IFNA(VLOOKUP(Tabla3[[#This Row],[DISPOSITIVO]],DISPOSITIVO[],2,0),"")</f>
        <v/>
      </c>
      <c r="S549" s="13" t="str">
        <f>_xlfn.IFNA(VLOOKUP(Tabla3[[#This Row],[PROTECCION SECUNDARIA]],PROTECCION_SECUNDARIA[],2,0),"")</f>
        <v/>
      </c>
      <c r="T549" s="13" t="str">
        <f>_xlfn.IFNA(VLOOKUP(Tabla3[[#This Row],[Que]],QUE[#All],2,0),"")</f>
        <v/>
      </c>
      <c r="U549" s="13" t="str">
        <f>_xlfn.IFNA(VLOOKUP(Tabla3[[#This Row],[Señal]],SEÑAL[#All],2,0),"")</f>
        <v/>
      </c>
      <c r="V549" s="13" t="str">
        <f>_xlfn.IFNA(VLOOKUP(Tabla3[[#This Row],[NUMERO]],SEÑAL[#All],2,0),"")</f>
        <v/>
      </c>
    </row>
    <row r="550" spans="1:22" x14ac:dyDescent="0.25">
      <c r="A550" s="26" t="s">
        <v>1334</v>
      </c>
      <c r="B550" s="2" t="s">
        <v>8</v>
      </c>
      <c r="C550" s="2" t="s">
        <v>89</v>
      </c>
      <c r="D550" s="2" t="s">
        <v>109</v>
      </c>
      <c r="E550" s="2" t="s">
        <v>1381</v>
      </c>
      <c r="J550"/>
      <c r="K550"/>
      <c r="L55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0" s="13" t="str">
        <f>VLOOKUP(Tabla3[[#This Row],[Tipo]],TIPO[#All],2,0)</f>
        <v>ET</v>
      </c>
      <c r="O550" s="13" t="str">
        <f>VLOOKUP(Tabla3[[#This Row],[Lugar]],LUGAR[#All],2,0)</f>
        <v>VMN</v>
      </c>
      <c r="P550" s="13" t="str">
        <f>Tabla3[[#This Row],[SIGLAS]]</f>
        <v>TR3</v>
      </c>
      <c r="Q550" s="13" t="str">
        <f>_xlfn.IFNA(VLOOKUP(Tabla3[[#This Row],[Nivel de tension]],NIVEL[#All],2,0),"")</f>
        <v/>
      </c>
      <c r="R550" s="13" t="str">
        <f>_xlfn.IFNA(VLOOKUP(Tabla3[[#This Row],[DISPOSITIVO]],DISPOSITIVO[],2,0),"")</f>
        <v/>
      </c>
      <c r="S550" s="13" t="str">
        <f>_xlfn.IFNA(VLOOKUP(Tabla3[[#This Row],[PROTECCION SECUNDARIA]],PROTECCION_SECUNDARIA[],2,0),"")</f>
        <v/>
      </c>
      <c r="T550" s="13" t="str">
        <f>_xlfn.IFNA(VLOOKUP(Tabla3[[#This Row],[Que]],QUE[#All],2,0),"")</f>
        <v/>
      </c>
      <c r="U550" s="13" t="str">
        <f>_xlfn.IFNA(VLOOKUP(Tabla3[[#This Row],[Señal]],SEÑAL[#All],2,0),"")</f>
        <v/>
      </c>
      <c r="V550" s="13" t="str">
        <f>_xlfn.IFNA(VLOOKUP(Tabla3[[#This Row],[NUMERO]],SEÑAL[#All],2,0),"")</f>
        <v/>
      </c>
    </row>
    <row r="551" spans="1:22" x14ac:dyDescent="0.25">
      <c r="A551" s="26" t="s">
        <v>1335</v>
      </c>
      <c r="B551" s="2" t="s">
        <v>8</v>
      </c>
      <c r="C551" s="2" t="s">
        <v>89</v>
      </c>
      <c r="D551" s="2" t="s">
        <v>109</v>
      </c>
      <c r="E551" s="2" t="s">
        <v>1381</v>
      </c>
      <c r="J551"/>
      <c r="K551"/>
      <c r="L55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1" s="13" t="str">
        <f>VLOOKUP(Tabla3[[#This Row],[Tipo]],TIPO[#All],2,0)</f>
        <v>ET</v>
      </c>
      <c r="O551" s="13" t="str">
        <f>VLOOKUP(Tabla3[[#This Row],[Lugar]],LUGAR[#All],2,0)</f>
        <v>VMN</v>
      </c>
      <c r="P551" s="13" t="str">
        <f>Tabla3[[#This Row],[SIGLAS]]</f>
        <v>TR3</v>
      </c>
      <c r="Q551" s="13" t="str">
        <f>_xlfn.IFNA(VLOOKUP(Tabla3[[#This Row],[Nivel de tension]],NIVEL[#All],2,0),"")</f>
        <v/>
      </c>
      <c r="R551" s="13" t="str">
        <f>_xlfn.IFNA(VLOOKUP(Tabla3[[#This Row],[DISPOSITIVO]],DISPOSITIVO[],2,0),"")</f>
        <v/>
      </c>
      <c r="S551" s="13" t="str">
        <f>_xlfn.IFNA(VLOOKUP(Tabla3[[#This Row],[PROTECCION SECUNDARIA]],PROTECCION_SECUNDARIA[],2,0),"")</f>
        <v/>
      </c>
      <c r="T551" s="13" t="str">
        <f>_xlfn.IFNA(VLOOKUP(Tabla3[[#This Row],[Que]],QUE[#All],2,0),"")</f>
        <v/>
      </c>
      <c r="U551" s="13" t="str">
        <f>_xlfn.IFNA(VLOOKUP(Tabla3[[#This Row],[Señal]],SEÑAL[#All],2,0),"")</f>
        <v/>
      </c>
      <c r="V551" s="13" t="str">
        <f>_xlfn.IFNA(VLOOKUP(Tabla3[[#This Row],[NUMERO]],SEÑAL[#All],2,0),"")</f>
        <v/>
      </c>
    </row>
    <row r="552" spans="1:22" x14ac:dyDescent="0.25">
      <c r="A552" s="26" t="s">
        <v>1336</v>
      </c>
      <c r="B552" s="2" t="s">
        <v>8</v>
      </c>
      <c r="C552" s="2" t="s">
        <v>89</v>
      </c>
      <c r="D552" s="2" t="s">
        <v>109</v>
      </c>
      <c r="E552" s="2" t="s">
        <v>1381</v>
      </c>
      <c r="J552"/>
      <c r="K552"/>
      <c r="L55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2" s="13" t="str">
        <f>VLOOKUP(Tabla3[[#This Row],[Tipo]],TIPO[#All],2,0)</f>
        <v>ET</v>
      </c>
      <c r="O552" s="13" t="str">
        <f>VLOOKUP(Tabla3[[#This Row],[Lugar]],LUGAR[#All],2,0)</f>
        <v>VMN</v>
      </c>
      <c r="P552" s="13" t="str">
        <f>Tabla3[[#This Row],[SIGLAS]]</f>
        <v>TR3</v>
      </c>
      <c r="Q552" s="13" t="str">
        <f>_xlfn.IFNA(VLOOKUP(Tabla3[[#This Row],[Nivel de tension]],NIVEL[#All],2,0),"")</f>
        <v/>
      </c>
      <c r="R552" s="13" t="str">
        <f>_xlfn.IFNA(VLOOKUP(Tabla3[[#This Row],[DISPOSITIVO]],DISPOSITIVO[],2,0),"")</f>
        <v/>
      </c>
      <c r="S552" s="13" t="str">
        <f>_xlfn.IFNA(VLOOKUP(Tabla3[[#This Row],[PROTECCION SECUNDARIA]],PROTECCION_SECUNDARIA[],2,0),"")</f>
        <v/>
      </c>
      <c r="T552" s="13" t="str">
        <f>_xlfn.IFNA(VLOOKUP(Tabla3[[#This Row],[Que]],QUE[#All],2,0),"")</f>
        <v/>
      </c>
      <c r="U552" s="13" t="str">
        <f>_xlfn.IFNA(VLOOKUP(Tabla3[[#This Row],[Señal]],SEÑAL[#All],2,0),"")</f>
        <v/>
      </c>
      <c r="V552" s="13" t="str">
        <f>_xlfn.IFNA(VLOOKUP(Tabla3[[#This Row],[NUMERO]],SEÑAL[#All],2,0),"")</f>
        <v/>
      </c>
    </row>
    <row r="553" spans="1:22" x14ac:dyDescent="0.25">
      <c r="A553" s="26" t="s">
        <v>1337</v>
      </c>
      <c r="B553" s="2" t="s">
        <v>8</v>
      </c>
      <c r="C553" s="2" t="s">
        <v>89</v>
      </c>
      <c r="D553" s="2" t="s">
        <v>109</v>
      </c>
      <c r="E553" s="2" t="s">
        <v>1381</v>
      </c>
      <c r="J553"/>
      <c r="K553"/>
      <c r="L55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3" s="13" t="str">
        <f>VLOOKUP(Tabla3[[#This Row],[Tipo]],TIPO[#All],2,0)</f>
        <v>ET</v>
      </c>
      <c r="O553" s="13" t="str">
        <f>VLOOKUP(Tabla3[[#This Row],[Lugar]],LUGAR[#All],2,0)</f>
        <v>VMN</v>
      </c>
      <c r="P553" s="13" t="str">
        <f>Tabla3[[#This Row],[SIGLAS]]</f>
        <v>TR3</v>
      </c>
      <c r="Q553" s="13" t="str">
        <f>_xlfn.IFNA(VLOOKUP(Tabla3[[#This Row],[Nivel de tension]],NIVEL[#All],2,0),"")</f>
        <v/>
      </c>
      <c r="R553" s="13" t="str">
        <f>_xlfn.IFNA(VLOOKUP(Tabla3[[#This Row],[DISPOSITIVO]],DISPOSITIVO[],2,0),"")</f>
        <v/>
      </c>
      <c r="S553" s="13" t="str">
        <f>_xlfn.IFNA(VLOOKUP(Tabla3[[#This Row],[PROTECCION SECUNDARIA]],PROTECCION_SECUNDARIA[],2,0),"")</f>
        <v/>
      </c>
      <c r="T553" s="13" t="str">
        <f>_xlfn.IFNA(VLOOKUP(Tabla3[[#This Row],[Que]],QUE[#All],2,0),"")</f>
        <v/>
      </c>
      <c r="U553" s="13" t="str">
        <f>_xlfn.IFNA(VLOOKUP(Tabla3[[#This Row],[Señal]],SEÑAL[#All],2,0),"")</f>
        <v/>
      </c>
      <c r="V553" s="13" t="str">
        <f>_xlfn.IFNA(VLOOKUP(Tabla3[[#This Row],[NUMERO]],SEÑAL[#All],2,0),"")</f>
        <v/>
      </c>
    </row>
    <row r="554" spans="1:22" x14ac:dyDescent="0.25">
      <c r="A554" s="26" t="s">
        <v>1338</v>
      </c>
      <c r="B554" s="2" t="s">
        <v>8</v>
      </c>
      <c r="C554" s="2" t="s">
        <v>89</v>
      </c>
      <c r="D554" s="2" t="s">
        <v>109</v>
      </c>
      <c r="E554" s="2" t="s">
        <v>1381</v>
      </c>
      <c r="J554"/>
      <c r="K554"/>
      <c r="L55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4" s="13" t="str">
        <f>VLOOKUP(Tabla3[[#This Row],[Tipo]],TIPO[#All],2,0)</f>
        <v>ET</v>
      </c>
      <c r="O554" s="13" t="str">
        <f>VLOOKUP(Tabla3[[#This Row],[Lugar]],LUGAR[#All],2,0)</f>
        <v>VMN</v>
      </c>
      <c r="P554" s="13" t="str">
        <f>Tabla3[[#This Row],[SIGLAS]]</f>
        <v>TR3</v>
      </c>
      <c r="Q554" s="13" t="str">
        <f>_xlfn.IFNA(VLOOKUP(Tabla3[[#This Row],[Nivel de tension]],NIVEL[#All],2,0),"")</f>
        <v/>
      </c>
      <c r="R554" s="13" t="str">
        <f>_xlfn.IFNA(VLOOKUP(Tabla3[[#This Row],[DISPOSITIVO]],DISPOSITIVO[],2,0),"")</f>
        <v/>
      </c>
      <c r="S554" s="13" t="str">
        <f>_xlfn.IFNA(VLOOKUP(Tabla3[[#This Row],[PROTECCION SECUNDARIA]],PROTECCION_SECUNDARIA[],2,0),"")</f>
        <v/>
      </c>
      <c r="T554" s="13" t="str">
        <f>_xlfn.IFNA(VLOOKUP(Tabla3[[#This Row],[Que]],QUE[#All],2,0),"")</f>
        <v/>
      </c>
      <c r="U554" s="13" t="str">
        <f>_xlfn.IFNA(VLOOKUP(Tabla3[[#This Row],[Señal]],SEÑAL[#All],2,0),"")</f>
        <v/>
      </c>
      <c r="V554" s="13" t="str">
        <f>_xlfn.IFNA(VLOOKUP(Tabla3[[#This Row],[NUMERO]],SEÑAL[#All],2,0),"")</f>
        <v/>
      </c>
    </row>
    <row r="555" spans="1:22" x14ac:dyDescent="0.25">
      <c r="A555" s="26" t="s">
        <v>1339</v>
      </c>
      <c r="B555" s="2" t="s">
        <v>8</v>
      </c>
      <c r="C555" s="2" t="s">
        <v>89</v>
      </c>
      <c r="D555" s="2" t="s">
        <v>109</v>
      </c>
      <c r="E555" s="2" t="s">
        <v>1381</v>
      </c>
      <c r="J555"/>
      <c r="K555"/>
      <c r="L55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5" s="13" t="str">
        <f>VLOOKUP(Tabla3[[#This Row],[Tipo]],TIPO[#All],2,0)</f>
        <v>ET</v>
      </c>
      <c r="O555" s="13" t="str">
        <f>VLOOKUP(Tabla3[[#This Row],[Lugar]],LUGAR[#All],2,0)</f>
        <v>VMN</v>
      </c>
      <c r="P555" s="13" t="str">
        <f>Tabla3[[#This Row],[SIGLAS]]</f>
        <v>TR3</v>
      </c>
      <c r="Q555" s="13" t="str">
        <f>_xlfn.IFNA(VLOOKUP(Tabla3[[#This Row],[Nivel de tension]],NIVEL[#All],2,0),"")</f>
        <v/>
      </c>
      <c r="R555" s="13" t="str">
        <f>_xlfn.IFNA(VLOOKUP(Tabla3[[#This Row],[DISPOSITIVO]],DISPOSITIVO[],2,0),"")</f>
        <v/>
      </c>
      <c r="S555" s="13" t="str">
        <f>_xlfn.IFNA(VLOOKUP(Tabla3[[#This Row],[PROTECCION SECUNDARIA]],PROTECCION_SECUNDARIA[],2,0),"")</f>
        <v/>
      </c>
      <c r="T555" s="13" t="str">
        <f>_xlfn.IFNA(VLOOKUP(Tabla3[[#This Row],[Que]],QUE[#All],2,0),"")</f>
        <v/>
      </c>
      <c r="U555" s="13" t="str">
        <f>_xlfn.IFNA(VLOOKUP(Tabla3[[#This Row],[Señal]],SEÑAL[#All],2,0),"")</f>
        <v/>
      </c>
      <c r="V555" s="13" t="str">
        <f>_xlfn.IFNA(VLOOKUP(Tabla3[[#This Row],[NUMERO]],SEÑAL[#All],2,0),"")</f>
        <v/>
      </c>
    </row>
    <row r="556" spans="1:22" x14ac:dyDescent="0.25">
      <c r="A556" s="26" t="s">
        <v>1340</v>
      </c>
      <c r="B556" s="2" t="s">
        <v>8</v>
      </c>
      <c r="C556" s="2" t="s">
        <v>89</v>
      </c>
      <c r="D556" s="2" t="s">
        <v>109</v>
      </c>
      <c r="E556" s="2" t="s">
        <v>1381</v>
      </c>
      <c r="J556"/>
      <c r="K556"/>
      <c r="L55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6" s="13" t="str">
        <f>VLOOKUP(Tabla3[[#This Row],[Tipo]],TIPO[#All],2,0)</f>
        <v>ET</v>
      </c>
      <c r="O556" s="13" t="str">
        <f>VLOOKUP(Tabla3[[#This Row],[Lugar]],LUGAR[#All],2,0)</f>
        <v>VMN</v>
      </c>
      <c r="P556" s="13" t="str">
        <f>Tabla3[[#This Row],[SIGLAS]]</f>
        <v>TR3</v>
      </c>
      <c r="Q556" s="13" t="str">
        <f>_xlfn.IFNA(VLOOKUP(Tabla3[[#This Row],[Nivel de tension]],NIVEL[#All],2,0),"")</f>
        <v/>
      </c>
      <c r="R556" s="13" t="str">
        <f>_xlfn.IFNA(VLOOKUP(Tabla3[[#This Row],[DISPOSITIVO]],DISPOSITIVO[],2,0),"")</f>
        <v/>
      </c>
      <c r="S556" s="13" t="str">
        <f>_xlfn.IFNA(VLOOKUP(Tabla3[[#This Row],[PROTECCION SECUNDARIA]],PROTECCION_SECUNDARIA[],2,0),"")</f>
        <v/>
      </c>
      <c r="T556" s="13" t="str">
        <f>_xlfn.IFNA(VLOOKUP(Tabla3[[#This Row],[Que]],QUE[#All],2,0),"")</f>
        <v/>
      </c>
      <c r="U556" s="13" t="str">
        <f>_xlfn.IFNA(VLOOKUP(Tabla3[[#This Row],[Señal]],SEÑAL[#All],2,0),"")</f>
        <v/>
      </c>
      <c r="V556" s="13" t="str">
        <f>_xlfn.IFNA(VLOOKUP(Tabla3[[#This Row],[NUMERO]],SEÑAL[#All],2,0),"")</f>
        <v/>
      </c>
    </row>
    <row r="557" spans="1:22" x14ac:dyDescent="0.25">
      <c r="A557" s="26" t="s">
        <v>1341</v>
      </c>
      <c r="B557" s="2" t="s">
        <v>8</v>
      </c>
      <c r="C557" s="2" t="s">
        <v>89</v>
      </c>
      <c r="D557" s="2" t="s">
        <v>109</v>
      </c>
      <c r="E557" s="2" t="s">
        <v>1381</v>
      </c>
      <c r="J557"/>
      <c r="K557"/>
      <c r="L55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7" s="13" t="str">
        <f>VLOOKUP(Tabla3[[#This Row],[Tipo]],TIPO[#All],2,0)</f>
        <v>ET</v>
      </c>
      <c r="O557" s="13" t="str">
        <f>VLOOKUP(Tabla3[[#This Row],[Lugar]],LUGAR[#All],2,0)</f>
        <v>VMN</v>
      </c>
      <c r="P557" s="13" t="str">
        <f>Tabla3[[#This Row],[SIGLAS]]</f>
        <v>TR3</v>
      </c>
      <c r="Q557" s="13" t="str">
        <f>_xlfn.IFNA(VLOOKUP(Tabla3[[#This Row],[Nivel de tension]],NIVEL[#All],2,0),"")</f>
        <v/>
      </c>
      <c r="R557" s="13" t="str">
        <f>_xlfn.IFNA(VLOOKUP(Tabla3[[#This Row],[DISPOSITIVO]],DISPOSITIVO[],2,0),"")</f>
        <v/>
      </c>
      <c r="S557" s="13" t="str">
        <f>_xlfn.IFNA(VLOOKUP(Tabla3[[#This Row],[PROTECCION SECUNDARIA]],PROTECCION_SECUNDARIA[],2,0),"")</f>
        <v/>
      </c>
      <c r="T557" s="13" t="str">
        <f>_xlfn.IFNA(VLOOKUP(Tabla3[[#This Row],[Que]],QUE[#All],2,0),"")</f>
        <v/>
      </c>
      <c r="U557" s="13" t="str">
        <f>_xlfn.IFNA(VLOOKUP(Tabla3[[#This Row],[Señal]],SEÑAL[#All],2,0),"")</f>
        <v/>
      </c>
      <c r="V557" s="13" t="str">
        <f>_xlfn.IFNA(VLOOKUP(Tabla3[[#This Row],[NUMERO]],SEÑAL[#All],2,0),"")</f>
        <v/>
      </c>
    </row>
    <row r="558" spans="1:22" x14ac:dyDescent="0.25">
      <c r="A558" s="26" t="s">
        <v>1342</v>
      </c>
      <c r="B558" s="2" t="s">
        <v>8</v>
      </c>
      <c r="C558" s="2" t="s">
        <v>89</v>
      </c>
      <c r="D558" s="2" t="s">
        <v>109</v>
      </c>
      <c r="E558" s="2" t="s">
        <v>1381</v>
      </c>
      <c r="J558"/>
      <c r="K558"/>
      <c r="L55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8" s="13" t="str">
        <f>VLOOKUP(Tabla3[[#This Row],[Tipo]],TIPO[#All],2,0)</f>
        <v>ET</v>
      </c>
      <c r="O558" s="13" t="str">
        <f>VLOOKUP(Tabla3[[#This Row],[Lugar]],LUGAR[#All],2,0)</f>
        <v>VMN</v>
      </c>
      <c r="P558" s="13" t="str">
        <f>Tabla3[[#This Row],[SIGLAS]]</f>
        <v>TR3</v>
      </c>
      <c r="Q558" s="13" t="str">
        <f>_xlfn.IFNA(VLOOKUP(Tabla3[[#This Row],[Nivel de tension]],NIVEL[#All],2,0),"")</f>
        <v/>
      </c>
      <c r="R558" s="13" t="str">
        <f>_xlfn.IFNA(VLOOKUP(Tabla3[[#This Row],[DISPOSITIVO]],DISPOSITIVO[],2,0),"")</f>
        <v/>
      </c>
      <c r="S558" s="13" t="str">
        <f>_xlfn.IFNA(VLOOKUP(Tabla3[[#This Row],[PROTECCION SECUNDARIA]],PROTECCION_SECUNDARIA[],2,0),"")</f>
        <v/>
      </c>
      <c r="T558" s="13" t="str">
        <f>_xlfn.IFNA(VLOOKUP(Tabla3[[#This Row],[Que]],QUE[#All],2,0),"")</f>
        <v/>
      </c>
      <c r="U558" s="13" t="str">
        <f>_xlfn.IFNA(VLOOKUP(Tabla3[[#This Row],[Señal]],SEÑAL[#All],2,0),"")</f>
        <v/>
      </c>
      <c r="V558" s="13" t="str">
        <f>_xlfn.IFNA(VLOOKUP(Tabla3[[#This Row],[NUMERO]],SEÑAL[#All],2,0),"")</f>
        <v/>
      </c>
    </row>
    <row r="559" spans="1:22" x14ac:dyDescent="0.25">
      <c r="A559" s="26" t="s">
        <v>1343</v>
      </c>
      <c r="B559" s="2" t="s">
        <v>8</v>
      </c>
      <c r="C559" s="2" t="s">
        <v>89</v>
      </c>
      <c r="D559" s="2" t="s">
        <v>109</v>
      </c>
      <c r="E559" s="2" t="s">
        <v>1381</v>
      </c>
      <c r="J559"/>
      <c r="K559"/>
      <c r="L55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59" s="13" t="str">
        <f>VLOOKUP(Tabla3[[#This Row],[Tipo]],TIPO[#All],2,0)</f>
        <v>ET</v>
      </c>
      <c r="O559" s="13" t="str">
        <f>VLOOKUP(Tabla3[[#This Row],[Lugar]],LUGAR[#All],2,0)</f>
        <v>VMN</v>
      </c>
      <c r="P559" s="13" t="str">
        <f>Tabla3[[#This Row],[SIGLAS]]</f>
        <v>TR3</v>
      </c>
      <c r="Q559" s="13" t="str">
        <f>_xlfn.IFNA(VLOOKUP(Tabla3[[#This Row],[Nivel de tension]],NIVEL[#All],2,0),"")</f>
        <v/>
      </c>
      <c r="R559" s="13" t="str">
        <f>_xlfn.IFNA(VLOOKUP(Tabla3[[#This Row],[DISPOSITIVO]],DISPOSITIVO[],2,0),"")</f>
        <v/>
      </c>
      <c r="S559" s="13" t="str">
        <f>_xlfn.IFNA(VLOOKUP(Tabla3[[#This Row],[PROTECCION SECUNDARIA]],PROTECCION_SECUNDARIA[],2,0),"")</f>
        <v/>
      </c>
      <c r="T559" s="13" t="str">
        <f>_xlfn.IFNA(VLOOKUP(Tabla3[[#This Row],[Que]],QUE[#All],2,0),"")</f>
        <v/>
      </c>
      <c r="U559" s="13" t="str">
        <f>_xlfn.IFNA(VLOOKUP(Tabla3[[#This Row],[Señal]],SEÑAL[#All],2,0),"")</f>
        <v/>
      </c>
      <c r="V559" s="13" t="str">
        <f>_xlfn.IFNA(VLOOKUP(Tabla3[[#This Row],[NUMERO]],SEÑAL[#All],2,0),"")</f>
        <v/>
      </c>
    </row>
    <row r="560" spans="1:22" x14ac:dyDescent="0.25">
      <c r="A560" s="26" t="s">
        <v>1344</v>
      </c>
      <c r="B560" s="2" t="s">
        <v>8</v>
      </c>
      <c r="C560" s="2" t="s">
        <v>89</v>
      </c>
      <c r="D560" s="2" t="s">
        <v>109</v>
      </c>
      <c r="E560" s="2" t="s">
        <v>1381</v>
      </c>
      <c r="J560"/>
      <c r="K560"/>
      <c r="L56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0" s="13" t="str">
        <f>VLOOKUP(Tabla3[[#This Row],[Tipo]],TIPO[#All],2,0)</f>
        <v>ET</v>
      </c>
      <c r="O560" s="13" t="str">
        <f>VLOOKUP(Tabla3[[#This Row],[Lugar]],LUGAR[#All],2,0)</f>
        <v>VMN</v>
      </c>
      <c r="P560" s="13" t="str">
        <f>Tabla3[[#This Row],[SIGLAS]]</f>
        <v>TR3</v>
      </c>
      <c r="Q560" s="13" t="str">
        <f>_xlfn.IFNA(VLOOKUP(Tabla3[[#This Row],[Nivel de tension]],NIVEL[#All],2,0),"")</f>
        <v/>
      </c>
      <c r="R560" s="13" t="str">
        <f>_xlfn.IFNA(VLOOKUP(Tabla3[[#This Row],[DISPOSITIVO]],DISPOSITIVO[],2,0),"")</f>
        <v/>
      </c>
      <c r="S560" s="13" t="str">
        <f>_xlfn.IFNA(VLOOKUP(Tabla3[[#This Row],[PROTECCION SECUNDARIA]],PROTECCION_SECUNDARIA[],2,0),"")</f>
        <v/>
      </c>
      <c r="T560" s="13" t="str">
        <f>_xlfn.IFNA(VLOOKUP(Tabla3[[#This Row],[Que]],QUE[#All],2,0),"")</f>
        <v/>
      </c>
      <c r="U560" s="13" t="str">
        <f>_xlfn.IFNA(VLOOKUP(Tabla3[[#This Row],[Señal]],SEÑAL[#All],2,0),"")</f>
        <v/>
      </c>
      <c r="V560" s="13" t="str">
        <f>_xlfn.IFNA(VLOOKUP(Tabla3[[#This Row],[NUMERO]],SEÑAL[#All],2,0),"")</f>
        <v/>
      </c>
    </row>
    <row r="561" spans="1:22" x14ac:dyDescent="0.25">
      <c r="A561" s="26" t="s">
        <v>1345</v>
      </c>
      <c r="B561" s="2" t="s">
        <v>8</v>
      </c>
      <c r="C561" s="2" t="s">
        <v>89</v>
      </c>
      <c r="D561" s="2" t="s">
        <v>109</v>
      </c>
      <c r="E561" s="2" t="s">
        <v>1381</v>
      </c>
      <c r="J561"/>
      <c r="K561"/>
      <c r="L56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1" s="13" t="str">
        <f>VLOOKUP(Tabla3[[#This Row],[Tipo]],TIPO[#All],2,0)</f>
        <v>ET</v>
      </c>
      <c r="O561" s="13" t="str">
        <f>VLOOKUP(Tabla3[[#This Row],[Lugar]],LUGAR[#All],2,0)</f>
        <v>VMN</v>
      </c>
      <c r="P561" s="13" t="str">
        <f>Tabla3[[#This Row],[SIGLAS]]</f>
        <v>TR3</v>
      </c>
      <c r="Q561" s="13" t="str">
        <f>_xlfn.IFNA(VLOOKUP(Tabla3[[#This Row],[Nivel de tension]],NIVEL[#All],2,0),"")</f>
        <v/>
      </c>
      <c r="R561" s="13" t="str">
        <f>_xlfn.IFNA(VLOOKUP(Tabla3[[#This Row],[DISPOSITIVO]],DISPOSITIVO[],2,0),"")</f>
        <v/>
      </c>
      <c r="S561" s="13" t="str">
        <f>_xlfn.IFNA(VLOOKUP(Tabla3[[#This Row],[PROTECCION SECUNDARIA]],PROTECCION_SECUNDARIA[],2,0),"")</f>
        <v/>
      </c>
      <c r="T561" s="13" t="str">
        <f>_xlfn.IFNA(VLOOKUP(Tabla3[[#This Row],[Que]],QUE[#All],2,0),"")</f>
        <v/>
      </c>
      <c r="U561" s="13" t="str">
        <f>_xlfn.IFNA(VLOOKUP(Tabla3[[#This Row],[Señal]],SEÑAL[#All],2,0),"")</f>
        <v/>
      </c>
      <c r="V561" s="13" t="str">
        <f>_xlfn.IFNA(VLOOKUP(Tabla3[[#This Row],[NUMERO]],SEÑAL[#All],2,0),"")</f>
        <v/>
      </c>
    </row>
    <row r="562" spans="1:22" x14ac:dyDescent="0.25">
      <c r="A562" s="26" t="s">
        <v>1346</v>
      </c>
      <c r="B562" s="2" t="s">
        <v>8</v>
      </c>
      <c r="C562" s="2" t="s">
        <v>89</v>
      </c>
      <c r="D562" s="2" t="s">
        <v>109</v>
      </c>
      <c r="E562" s="2" t="s">
        <v>1381</v>
      </c>
      <c r="J562"/>
      <c r="K562"/>
      <c r="L56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2" s="13" t="str">
        <f>VLOOKUP(Tabla3[[#This Row],[Tipo]],TIPO[#All],2,0)</f>
        <v>ET</v>
      </c>
      <c r="O562" s="13" t="str">
        <f>VLOOKUP(Tabla3[[#This Row],[Lugar]],LUGAR[#All],2,0)</f>
        <v>VMN</v>
      </c>
      <c r="P562" s="13" t="str">
        <f>Tabla3[[#This Row],[SIGLAS]]</f>
        <v>TR3</v>
      </c>
      <c r="Q562" s="13" t="str">
        <f>_xlfn.IFNA(VLOOKUP(Tabla3[[#This Row],[Nivel de tension]],NIVEL[#All],2,0),"")</f>
        <v/>
      </c>
      <c r="R562" s="13" t="str">
        <f>_xlfn.IFNA(VLOOKUP(Tabla3[[#This Row],[DISPOSITIVO]],DISPOSITIVO[],2,0),"")</f>
        <v/>
      </c>
      <c r="S562" s="13" t="str">
        <f>_xlfn.IFNA(VLOOKUP(Tabla3[[#This Row],[PROTECCION SECUNDARIA]],PROTECCION_SECUNDARIA[],2,0),"")</f>
        <v/>
      </c>
      <c r="T562" s="13" t="str">
        <f>_xlfn.IFNA(VLOOKUP(Tabla3[[#This Row],[Que]],QUE[#All],2,0),"")</f>
        <v/>
      </c>
      <c r="U562" s="13" t="str">
        <f>_xlfn.IFNA(VLOOKUP(Tabla3[[#This Row],[Señal]],SEÑAL[#All],2,0),"")</f>
        <v/>
      </c>
      <c r="V562" s="13" t="str">
        <f>_xlfn.IFNA(VLOOKUP(Tabla3[[#This Row],[NUMERO]],SEÑAL[#All],2,0),"")</f>
        <v/>
      </c>
    </row>
    <row r="563" spans="1:22" x14ac:dyDescent="0.25">
      <c r="A563" s="26" t="s">
        <v>1347</v>
      </c>
      <c r="B563" s="2" t="s">
        <v>8</v>
      </c>
      <c r="C563" s="2" t="s">
        <v>89</v>
      </c>
      <c r="D563" s="2" t="s">
        <v>109</v>
      </c>
      <c r="E563" s="2" t="s">
        <v>1381</v>
      </c>
      <c r="J563"/>
      <c r="K563"/>
      <c r="L56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3" s="13" t="str">
        <f>VLOOKUP(Tabla3[[#This Row],[Tipo]],TIPO[#All],2,0)</f>
        <v>ET</v>
      </c>
      <c r="O563" s="13" t="str">
        <f>VLOOKUP(Tabla3[[#This Row],[Lugar]],LUGAR[#All],2,0)</f>
        <v>VMN</v>
      </c>
      <c r="P563" s="13" t="str">
        <f>Tabla3[[#This Row],[SIGLAS]]</f>
        <v>TR3</v>
      </c>
      <c r="Q563" s="13" t="str">
        <f>_xlfn.IFNA(VLOOKUP(Tabla3[[#This Row],[Nivel de tension]],NIVEL[#All],2,0),"")</f>
        <v/>
      </c>
      <c r="R563" s="13" t="str">
        <f>_xlfn.IFNA(VLOOKUP(Tabla3[[#This Row],[DISPOSITIVO]],DISPOSITIVO[],2,0),"")</f>
        <v/>
      </c>
      <c r="S563" s="13" t="str">
        <f>_xlfn.IFNA(VLOOKUP(Tabla3[[#This Row],[PROTECCION SECUNDARIA]],PROTECCION_SECUNDARIA[],2,0),"")</f>
        <v/>
      </c>
      <c r="T563" s="13" t="str">
        <f>_xlfn.IFNA(VLOOKUP(Tabla3[[#This Row],[Que]],QUE[#All],2,0),"")</f>
        <v/>
      </c>
      <c r="U563" s="13" t="str">
        <f>_xlfn.IFNA(VLOOKUP(Tabla3[[#This Row],[Señal]],SEÑAL[#All],2,0),"")</f>
        <v/>
      </c>
      <c r="V563" s="13" t="str">
        <f>_xlfn.IFNA(VLOOKUP(Tabla3[[#This Row],[NUMERO]],SEÑAL[#All],2,0),"")</f>
        <v/>
      </c>
    </row>
    <row r="564" spans="1:22" x14ac:dyDescent="0.25">
      <c r="A564" s="26" t="s">
        <v>1348</v>
      </c>
      <c r="B564" s="2" t="s">
        <v>8</v>
      </c>
      <c r="C564" s="2" t="s">
        <v>89</v>
      </c>
      <c r="D564" s="2" t="s">
        <v>109</v>
      </c>
      <c r="E564" s="2" t="s">
        <v>1381</v>
      </c>
      <c r="J564"/>
      <c r="K564"/>
      <c r="L56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4" s="13" t="str">
        <f>VLOOKUP(Tabla3[[#This Row],[Tipo]],TIPO[#All],2,0)</f>
        <v>ET</v>
      </c>
      <c r="O564" s="13" t="str">
        <f>VLOOKUP(Tabla3[[#This Row],[Lugar]],LUGAR[#All],2,0)</f>
        <v>VMN</v>
      </c>
      <c r="P564" s="13" t="str">
        <f>Tabla3[[#This Row],[SIGLAS]]</f>
        <v>TR3</v>
      </c>
      <c r="Q564" s="13" t="str">
        <f>_xlfn.IFNA(VLOOKUP(Tabla3[[#This Row],[Nivel de tension]],NIVEL[#All],2,0),"")</f>
        <v/>
      </c>
      <c r="R564" s="13" t="str">
        <f>_xlfn.IFNA(VLOOKUP(Tabla3[[#This Row],[DISPOSITIVO]],DISPOSITIVO[],2,0),"")</f>
        <v/>
      </c>
      <c r="S564" s="13" t="str">
        <f>_xlfn.IFNA(VLOOKUP(Tabla3[[#This Row],[PROTECCION SECUNDARIA]],PROTECCION_SECUNDARIA[],2,0),"")</f>
        <v/>
      </c>
      <c r="T564" s="13" t="str">
        <f>_xlfn.IFNA(VLOOKUP(Tabla3[[#This Row],[Que]],QUE[#All],2,0),"")</f>
        <v/>
      </c>
      <c r="U564" s="13" t="str">
        <f>_xlfn.IFNA(VLOOKUP(Tabla3[[#This Row],[Señal]],SEÑAL[#All],2,0),"")</f>
        <v/>
      </c>
      <c r="V564" s="13" t="str">
        <f>_xlfn.IFNA(VLOOKUP(Tabla3[[#This Row],[NUMERO]],SEÑAL[#All],2,0),"")</f>
        <v/>
      </c>
    </row>
    <row r="565" spans="1:22" x14ac:dyDescent="0.25">
      <c r="A565" s="26" t="s">
        <v>1349</v>
      </c>
      <c r="B565" s="2" t="s">
        <v>8</v>
      </c>
      <c r="C565" s="2" t="s">
        <v>89</v>
      </c>
      <c r="D565" s="2" t="s">
        <v>109</v>
      </c>
      <c r="E565" s="2" t="s">
        <v>1381</v>
      </c>
      <c r="J565"/>
      <c r="K565"/>
      <c r="L56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5" s="13" t="str">
        <f>VLOOKUP(Tabla3[[#This Row],[Tipo]],TIPO[#All],2,0)</f>
        <v>ET</v>
      </c>
      <c r="O565" s="13" t="str">
        <f>VLOOKUP(Tabla3[[#This Row],[Lugar]],LUGAR[#All],2,0)</f>
        <v>VMN</v>
      </c>
      <c r="P565" s="13" t="str">
        <f>Tabla3[[#This Row],[SIGLAS]]</f>
        <v>TR3</v>
      </c>
      <c r="Q565" s="13" t="str">
        <f>_xlfn.IFNA(VLOOKUP(Tabla3[[#This Row],[Nivel de tension]],NIVEL[#All],2,0),"")</f>
        <v/>
      </c>
      <c r="R565" s="13" t="str">
        <f>_xlfn.IFNA(VLOOKUP(Tabla3[[#This Row],[DISPOSITIVO]],DISPOSITIVO[],2,0),"")</f>
        <v/>
      </c>
      <c r="S565" s="13" t="str">
        <f>_xlfn.IFNA(VLOOKUP(Tabla3[[#This Row],[PROTECCION SECUNDARIA]],PROTECCION_SECUNDARIA[],2,0),"")</f>
        <v/>
      </c>
      <c r="T565" s="13" t="str">
        <f>_xlfn.IFNA(VLOOKUP(Tabla3[[#This Row],[Que]],QUE[#All],2,0),"")</f>
        <v/>
      </c>
      <c r="U565" s="13" t="str">
        <f>_xlfn.IFNA(VLOOKUP(Tabla3[[#This Row],[Señal]],SEÑAL[#All],2,0),"")</f>
        <v/>
      </c>
      <c r="V565" s="13" t="str">
        <f>_xlfn.IFNA(VLOOKUP(Tabla3[[#This Row],[NUMERO]],SEÑAL[#All],2,0),"")</f>
        <v/>
      </c>
    </row>
    <row r="566" spans="1:22" x14ac:dyDescent="0.25">
      <c r="A566" s="26" t="s">
        <v>1350</v>
      </c>
      <c r="B566" s="2" t="s">
        <v>8</v>
      </c>
      <c r="C566" s="2" t="s">
        <v>89</v>
      </c>
      <c r="D566" s="2" t="s">
        <v>109</v>
      </c>
      <c r="E566" s="2" t="s">
        <v>1381</v>
      </c>
      <c r="J566"/>
      <c r="K566"/>
      <c r="L56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6" s="13" t="str">
        <f>VLOOKUP(Tabla3[[#This Row],[Tipo]],TIPO[#All],2,0)</f>
        <v>ET</v>
      </c>
      <c r="O566" s="13" t="str">
        <f>VLOOKUP(Tabla3[[#This Row],[Lugar]],LUGAR[#All],2,0)</f>
        <v>VMN</v>
      </c>
      <c r="P566" s="13" t="str">
        <f>Tabla3[[#This Row],[SIGLAS]]</f>
        <v>TR3</v>
      </c>
      <c r="Q566" s="13" t="str">
        <f>_xlfn.IFNA(VLOOKUP(Tabla3[[#This Row],[Nivel de tension]],NIVEL[#All],2,0),"")</f>
        <v/>
      </c>
      <c r="R566" s="13" t="str">
        <f>_xlfn.IFNA(VLOOKUP(Tabla3[[#This Row],[DISPOSITIVO]],DISPOSITIVO[],2,0),"")</f>
        <v/>
      </c>
      <c r="S566" s="13" t="str">
        <f>_xlfn.IFNA(VLOOKUP(Tabla3[[#This Row],[PROTECCION SECUNDARIA]],PROTECCION_SECUNDARIA[],2,0),"")</f>
        <v/>
      </c>
      <c r="T566" s="13" t="str">
        <f>_xlfn.IFNA(VLOOKUP(Tabla3[[#This Row],[Que]],QUE[#All],2,0),"")</f>
        <v/>
      </c>
      <c r="U566" s="13" t="str">
        <f>_xlfn.IFNA(VLOOKUP(Tabla3[[#This Row],[Señal]],SEÑAL[#All],2,0),"")</f>
        <v/>
      </c>
      <c r="V566" s="13" t="str">
        <f>_xlfn.IFNA(VLOOKUP(Tabla3[[#This Row],[NUMERO]],SEÑAL[#All],2,0),"")</f>
        <v/>
      </c>
    </row>
    <row r="567" spans="1:22" x14ac:dyDescent="0.25">
      <c r="A567" s="26" t="s">
        <v>1351</v>
      </c>
      <c r="B567" s="2" t="s">
        <v>8</v>
      </c>
      <c r="C567" s="2" t="s">
        <v>89</v>
      </c>
      <c r="D567" s="2" t="s">
        <v>109</v>
      </c>
      <c r="E567" s="2" t="s">
        <v>1381</v>
      </c>
      <c r="J567"/>
      <c r="K567"/>
      <c r="L56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7" s="13" t="str">
        <f>VLOOKUP(Tabla3[[#This Row],[Tipo]],TIPO[#All],2,0)</f>
        <v>ET</v>
      </c>
      <c r="O567" s="13" t="str">
        <f>VLOOKUP(Tabla3[[#This Row],[Lugar]],LUGAR[#All],2,0)</f>
        <v>VMN</v>
      </c>
      <c r="P567" s="13" t="str">
        <f>Tabla3[[#This Row],[SIGLAS]]</f>
        <v>TR3</v>
      </c>
      <c r="Q567" s="13" t="str">
        <f>_xlfn.IFNA(VLOOKUP(Tabla3[[#This Row],[Nivel de tension]],NIVEL[#All],2,0),"")</f>
        <v/>
      </c>
      <c r="R567" s="13" t="str">
        <f>_xlfn.IFNA(VLOOKUP(Tabla3[[#This Row],[DISPOSITIVO]],DISPOSITIVO[],2,0),"")</f>
        <v/>
      </c>
      <c r="S567" s="13" t="str">
        <f>_xlfn.IFNA(VLOOKUP(Tabla3[[#This Row],[PROTECCION SECUNDARIA]],PROTECCION_SECUNDARIA[],2,0),"")</f>
        <v/>
      </c>
      <c r="T567" s="13" t="str">
        <f>_xlfn.IFNA(VLOOKUP(Tabla3[[#This Row],[Que]],QUE[#All],2,0),"")</f>
        <v/>
      </c>
      <c r="U567" s="13" t="str">
        <f>_xlfn.IFNA(VLOOKUP(Tabla3[[#This Row],[Señal]],SEÑAL[#All],2,0),"")</f>
        <v/>
      </c>
      <c r="V567" s="13" t="str">
        <f>_xlfn.IFNA(VLOOKUP(Tabla3[[#This Row],[NUMERO]],SEÑAL[#All],2,0),"")</f>
        <v/>
      </c>
    </row>
    <row r="568" spans="1:22" x14ac:dyDescent="0.25">
      <c r="A568" s="26" t="s">
        <v>1352</v>
      </c>
      <c r="B568" s="2" t="s">
        <v>8</v>
      </c>
      <c r="C568" s="2" t="s">
        <v>89</v>
      </c>
      <c r="D568" s="2" t="s">
        <v>109</v>
      </c>
      <c r="E568" s="2" t="s">
        <v>1381</v>
      </c>
      <c r="J568"/>
      <c r="K568"/>
      <c r="L56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8" s="13" t="str">
        <f>VLOOKUP(Tabla3[[#This Row],[Tipo]],TIPO[#All],2,0)</f>
        <v>ET</v>
      </c>
      <c r="O568" s="13" t="str">
        <f>VLOOKUP(Tabla3[[#This Row],[Lugar]],LUGAR[#All],2,0)</f>
        <v>VMN</v>
      </c>
      <c r="P568" s="13" t="str">
        <f>Tabla3[[#This Row],[SIGLAS]]</f>
        <v>TR3</v>
      </c>
      <c r="Q568" s="13" t="str">
        <f>_xlfn.IFNA(VLOOKUP(Tabla3[[#This Row],[Nivel de tension]],NIVEL[#All],2,0),"")</f>
        <v/>
      </c>
      <c r="R568" s="13" t="str">
        <f>_xlfn.IFNA(VLOOKUP(Tabla3[[#This Row],[DISPOSITIVO]],DISPOSITIVO[],2,0),"")</f>
        <v/>
      </c>
      <c r="S568" s="13" t="str">
        <f>_xlfn.IFNA(VLOOKUP(Tabla3[[#This Row],[PROTECCION SECUNDARIA]],PROTECCION_SECUNDARIA[],2,0),"")</f>
        <v/>
      </c>
      <c r="T568" s="13" t="str">
        <f>_xlfn.IFNA(VLOOKUP(Tabla3[[#This Row],[Que]],QUE[#All],2,0),"")</f>
        <v/>
      </c>
      <c r="U568" s="13" t="str">
        <f>_xlfn.IFNA(VLOOKUP(Tabla3[[#This Row],[Señal]],SEÑAL[#All],2,0),"")</f>
        <v/>
      </c>
      <c r="V568" s="13" t="str">
        <f>_xlfn.IFNA(VLOOKUP(Tabla3[[#This Row],[NUMERO]],SEÑAL[#All],2,0),"")</f>
        <v/>
      </c>
    </row>
    <row r="569" spans="1:22" x14ac:dyDescent="0.25">
      <c r="A569" s="26" t="s">
        <v>1353</v>
      </c>
      <c r="B569" s="2" t="s">
        <v>8</v>
      </c>
      <c r="C569" s="2" t="s">
        <v>89</v>
      </c>
      <c r="D569" s="2" t="s">
        <v>109</v>
      </c>
      <c r="E569" s="2" t="s">
        <v>1381</v>
      </c>
      <c r="J569"/>
      <c r="K569"/>
      <c r="L56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69" s="13" t="str">
        <f>VLOOKUP(Tabla3[[#This Row],[Tipo]],TIPO[#All],2,0)</f>
        <v>ET</v>
      </c>
      <c r="O569" s="13" t="str">
        <f>VLOOKUP(Tabla3[[#This Row],[Lugar]],LUGAR[#All],2,0)</f>
        <v>VMN</v>
      </c>
      <c r="P569" s="13" t="str">
        <f>Tabla3[[#This Row],[SIGLAS]]</f>
        <v>TR3</v>
      </c>
      <c r="Q569" s="13" t="str">
        <f>_xlfn.IFNA(VLOOKUP(Tabla3[[#This Row],[Nivel de tension]],NIVEL[#All],2,0),"")</f>
        <v/>
      </c>
      <c r="R569" s="13" t="str">
        <f>_xlfn.IFNA(VLOOKUP(Tabla3[[#This Row],[DISPOSITIVO]],DISPOSITIVO[],2,0),"")</f>
        <v/>
      </c>
      <c r="S569" s="13" t="str">
        <f>_xlfn.IFNA(VLOOKUP(Tabla3[[#This Row],[PROTECCION SECUNDARIA]],PROTECCION_SECUNDARIA[],2,0),"")</f>
        <v/>
      </c>
      <c r="T569" s="13" t="str">
        <f>_xlfn.IFNA(VLOOKUP(Tabla3[[#This Row],[Que]],QUE[#All],2,0),"")</f>
        <v/>
      </c>
      <c r="U569" s="13" t="str">
        <f>_xlfn.IFNA(VLOOKUP(Tabla3[[#This Row],[Señal]],SEÑAL[#All],2,0),"")</f>
        <v/>
      </c>
      <c r="V569" s="13" t="str">
        <f>_xlfn.IFNA(VLOOKUP(Tabla3[[#This Row],[NUMERO]],SEÑAL[#All],2,0),"")</f>
        <v/>
      </c>
    </row>
    <row r="570" spans="1:22" x14ac:dyDescent="0.25">
      <c r="A570" s="26" t="s">
        <v>1354</v>
      </c>
      <c r="B570" s="2" t="s">
        <v>8</v>
      </c>
      <c r="C570" s="2" t="s">
        <v>89</v>
      </c>
      <c r="D570" s="2" t="s">
        <v>109</v>
      </c>
      <c r="E570" s="2" t="s">
        <v>1381</v>
      </c>
      <c r="J570"/>
      <c r="K570"/>
      <c r="L57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0" s="13" t="str">
        <f>VLOOKUP(Tabla3[[#This Row],[Tipo]],TIPO[#All],2,0)</f>
        <v>ET</v>
      </c>
      <c r="O570" s="13" t="str">
        <f>VLOOKUP(Tabla3[[#This Row],[Lugar]],LUGAR[#All],2,0)</f>
        <v>VMN</v>
      </c>
      <c r="P570" s="13" t="str">
        <f>Tabla3[[#This Row],[SIGLAS]]</f>
        <v>TR3</v>
      </c>
      <c r="Q570" s="13" t="str">
        <f>_xlfn.IFNA(VLOOKUP(Tabla3[[#This Row],[Nivel de tension]],NIVEL[#All],2,0),"")</f>
        <v/>
      </c>
      <c r="R570" s="13" t="str">
        <f>_xlfn.IFNA(VLOOKUP(Tabla3[[#This Row],[DISPOSITIVO]],DISPOSITIVO[],2,0),"")</f>
        <v/>
      </c>
      <c r="S570" s="13" t="str">
        <f>_xlfn.IFNA(VLOOKUP(Tabla3[[#This Row],[PROTECCION SECUNDARIA]],PROTECCION_SECUNDARIA[],2,0),"")</f>
        <v/>
      </c>
      <c r="T570" s="13" t="str">
        <f>_xlfn.IFNA(VLOOKUP(Tabla3[[#This Row],[Que]],QUE[#All],2,0),"")</f>
        <v/>
      </c>
      <c r="U570" s="13" t="str">
        <f>_xlfn.IFNA(VLOOKUP(Tabla3[[#This Row],[Señal]],SEÑAL[#All],2,0),"")</f>
        <v/>
      </c>
      <c r="V570" s="13" t="str">
        <f>_xlfn.IFNA(VLOOKUP(Tabla3[[#This Row],[NUMERO]],SEÑAL[#All],2,0),"")</f>
        <v/>
      </c>
    </row>
    <row r="571" spans="1:22" x14ac:dyDescent="0.25">
      <c r="A571" s="26" t="s">
        <v>1355</v>
      </c>
      <c r="B571" s="2" t="s">
        <v>8</v>
      </c>
      <c r="C571" s="2" t="s">
        <v>89</v>
      </c>
      <c r="D571" s="2" t="s">
        <v>109</v>
      </c>
      <c r="E571" s="2" t="s">
        <v>1381</v>
      </c>
      <c r="J571"/>
      <c r="K571"/>
      <c r="L57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1" s="13" t="str">
        <f>VLOOKUP(Tabla3[[#This Row],[Tipo]],TIPO[#All],2,0)</f>
        <v>ET</v>
      </c>
      <c r="O571" s="13" t="str">
        <f>VLOOKUP(Tabla3[[#This Row],[Lugar]],LUGAR[#All],2,0)</f>
        <v>VMN</v>
      </c>
      <c r="P571" s="13" t="str">
        <f>Tabla3[[#This Row],[SIGLAS]]</f>
        <v>TR3</v>
      </c>
      <c r="Q571" s="13" t="str">
        <f>_xlfn.IFNA(VLOOKUP(Tabla3[[#This Row],[Nivel de tension]],NIVEL[#All],2,0),"")</f>
        <v/>
      </c>
      <c r="R571" s="13" t="str">
        <f>_xlfn.IFNA(VLOOKUP(Tabla3[[#This Row],[DISPOSITIVO]],DISPOSITIVO[],2,0),"")</f>
        <v/>
      </c>
      <c r="S571" s="13" t="str">
        <f>_xlfn.IFNA(VLOOKUP(Tabla3[[#This Row],[PROTECCION SECUNDARIA]],PROTECCION_SECUNDARIA[],2,0),"")</f>
        <v/>
      </c>
      <c r="T571" s="13" t="str">
        <f>_xlfn.IFNA(VLOOKUP(Tabla3[[#This Row],[Que]],QUE[#All],2,0),"")</f>
        <v/>
      </c>
      <c r="U571" s="13" t="str">
        <f>_xlfn.IFNA(VLOOKUP(Tabla3[[#This Row],[Señal]],SEÑAL[#All],2,0),"")</f>
        <v/>
      </c>
      <c r="V571" s="13" t="str">
        <f>_xlfn.IFNA(VLOOKUP(Tabla3[[#This Row],[NUMERO]],SEÑAL[#All],2,0),"")</f>
        <v/>
      </c>
    </row>
    <row r="572" spans="1:22" x14ac:dyDescent="0.25">
      <c r="A572" s="26" t="s">
        <v>1356</v>
      </c>
      <c r="B572" s="2" t="s">
        <v>8</v>
      </c>
      <c r="C572" s="2" t="s">
        <v>89</v>
      </c>
      <c r="D572" s="2" t="s">
        <v>109</v>
      </c>
      <c r="E572" s="2" t="s">
        <v>1381</v>
      </c>
      <c r="J572"/>
      <c r="K572"/>
      <c r="L57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2" s="13" t="str">
        <f>VLOOKUP(Tabla3[[#This Row],[Tipo]],TIPO[#All],2,0)</f>
        <v>ET</v>
      </c>
      <c r="O572" s="13" t="str">
        <f>VLOOKUP(Tabla3[[#This Row],[Lugar]],LUGAR[#All],2,0)</f>
        <v>VMN</v>
      </c>
      <c r="P572" s="13" t="str">
        <f>Tabla3[[#This Row],[SIGLAS]]</f>
        <v>TR3</v>
      </c>
      <c r="Q572" s="13" t="str">
        <f>_xlfn.IFNA(VLOOKUP(Tabla3[[#This Row],[Nivel de tension]],NIVEL[#All],2,0),"")</f>
        <v/>
      </c>
      <c r="R572" s="13" t="str">
        <f>_xlfn.IFNA(VLOOKUP(Tabla3[[#This Row],[DISPOSITIVO]],DISPOSITIVO[],2,0),"")</f>
        <v/>
      </c>
      <c r="S572" s="13" t="str">
        <f>_xlfn.IFNA(VLOOKUP(Tabla3[[#This Row],[PROTECCION SECUNDARIA]],PROTECCION_SECUNDARIA[],2,0),"")</f>
        <v/>
      </c>
      <c r="T572" s="13" t="str">
        <f>_xlfn.IFNA(VLOOKUP(Tabla3[[#This Row],[Que]],QUE[#All],2,0),"")</f>
        <v/>
      </c>
      <c r="U572" s="13" t="str">
        <f>_xlfn.IFNA(VLOOKUP(Tabla3[[#This Row],[Señal]],SEÑAL[#All],2,0),"")</f>
        <v/>
      </c>
      <c r="V572" s="13" t="str">
        <f>_xlfn.IFNA(VLOOKUP(Tabla3[[#This Row],[NUMERO]],SEÑAL[#All],2,0),"")</f>
        <v/>
      </c>
    </row>
    <row r="573" spans="1:22" x14ac:dyDescent="0.25">
      <c r="A573" s="26" t="s">
        <v>1357</v>
      </c>
      <c r="B573" s="2" t="s">
        <v>8</v>
      </c>
      <c r="C573" s="2" t="s">
        <v>89</v>
      </c>
      <c r="D573" s="2" t="s">
        <v>109</v>
      </c>
      <c r="E573" s="2" t="s">
        <v>1381</v>
      </c>
      <c r="J573"/>
      <c r="K573"/>
      <c r="L57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3" s="13" t="str">
        <f>VLOOKUP(Tabla3[[#This Row],[Tipo]],TIPO[#All],2,0)</f>
        <v>ET</v>
      </c>
      <c r="O573" s="13" t="str">
        <f>VLOOKUP(Tabla3[[#This Row],[Lugar]],LUGAR[#All],2,0)</f>
        <v>VMN</v>
      </c>
      <c r="P573" s="13" t="str">
        <f>Tabla3[[#This Row],[SIGLAS]]</f>
        <v>TR3</v>
      </c>
      <c r="Q573" s="13" t="str">
        <f>_xlfn.IFNA(VLOOKUP(Tabla3[[#This Row],[Nivel de tension]],NIVEL[#All],2,0),"")</f>
        <v/>
      </c>
      <c r="R573" s="13" t="str">
        <f>_xlfn.IFNA(VLOOKUP(Tabla3[[#This Row],[DISPOSITIVO]],DISPOSITIVO[],2,0),"")</f>
        <v/>
      </c>
      <c r="S573" s="13" t="str">
        <f>_xlfn.IFNA(VLOOKUP(Tabla3[[#This Row],[PROTECCION SECUNDARIA]],PROTECCION_SECUNDARIA[],2,0),"")</f>
        <v/>
      </c>
      <c r="T573" s="13" t="str">
        <f>_xlfn.IFNA(VLOOKUP(Tabla3[[#This Row],[Que]],QUE[#All],2,0),"")</f>
        <v/>
      </c>
      <c r="U573" s="13" t="str">
        <f>_xlfn.IFNA(VLOOKUP(Tabla3[[#This Row],[Señal]],SEÑAL[#All],2,0),"")</f>
        <v/>
      </c>
      <c r="V573" s="13" t="str">
        <f>_xlfn.IFNA(VLOOKUP(Tabla3[[#This Row],[NUMERO]],SEÑAL[#All],2,0),"")</f>
        <v/>
      </c>
    </row>
    <row r="574" spans="1:22" x14ac:dyDescent="0.25">
      <c r="A574" s="26" t="s">
        <v>1358</v>
      </c>
      <c r="B574" s="2" t="s">
        <v>8</v>
      </c>
      <c r="C574" s="2" t="s">
        <v>89</v>
      </c>
      <c r="D574" s="2" t="s">
        <v>109</v>
      </c>
      <c r="E574" s="2" t="s">
        <v>1381</v>
      </c>
      <c r="J574"/>
      <c r="K574"/>
      <c r="L57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4" s="13" t="str">
        <f>VLOOKUP(Tabla3[[#This Row],[Tipo]],TIPO[#All],2,0)</f>
        <v>ET</v>
      </c>
      <c r="O574" s="13" t="str">
        <f>VLOOKUP(Tabla3[[#This Row],[Lugar]],LUGAR[#All],2,0)</f>
        <v>VMN</v>
      </c>
      <c r="P574" s="13" t="str">
        <f>Tabla3[[#This Row],[SIGLAS]]</f>
        <v>TR3</v>
      </c>
      <c r="Q574" s="13" t="str">
        <f>_xlfn.IFNA(VLOOKUP(Tabla3[[#This Row],[Nivel de tension]],NIVEL[#All],2,0),"")</f>
        <v/>
      </c>
      <c r="R574" s="13" t="str">
        <f>_xlfn.IFNA(VLOOKUP(Tabla3[[#This Row],[DISPOSITIVO]],DISPOSITIVO[],2,0),"")</f>
        <v/>
      </c>
      <c r="S574" s="13" t="str">
        <f>_xlfn.IFNA(VLOOKUP(Tabla3[[#This Row],[PROTECCION SECUNDARIA]],PROTECCION_SECUNDARIA[],2,0),"")</f>
        <v/>
      </c>
      <c r="T574" s="13" t="str">
        <f>_xlfn.IFNA(VLOOKUP(Tabla3[[#This Row],[Que]],QUE[#All],2,0),"")</f>
        <v/>
      </c>
      <c r="U574" s="13" t="str">
        <f>_xlfn.IFNA(VLOOKUP(Tabla3[[#This Row],[Señal]],SEÑAL[#All],2,0),"")</f>
        <v/>
      </c>
      <c r="V574" s="13" t="str">
        <f>_xlfn.IFNA(VLOOKUP(Tabla3[[#This Row],[NUMERO]],SEÑAL[#All],2,0),"")</f>
        <v/>
      </c>
    </row>
    <row r="575" spans="1:22" x14ac:dyDescent="0.25">
      <c r="A575" s="26" t="s">
        <v>1359</v>
      </c>
      <c r="B575" s="2" t="s">
        <v>8</v>
      </c>
      <c r="C575" s="2" t="s">
        <v>89</v>
      </c>
      <c r="D575" s="2" t="s">
        <v>109</v>
      </c>
      <c r="E575" s="2" t="s">
        <v>1381</v>
      </c>
      <c r="J575"/>
      <c r="K575"/>
      <c r="L57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5" s="13" t="str">
        <f>VLOOKUP(Tabla3[[#This Row],[Tipo]],TIPO[#All],2,0)</f>
        <v>ET</v>
      </c>
      <c r="O575" s="13" t="str">
        <f>VLOOKUP(Tabla3[[#This Row],[Lugar]],LUGAR[#All],2,0)</f>
        <v>VMN</v>
      </c>
      <c r="P575" s="13" t="str">
        <f>Tabla3[[#This Row],[SIGLAS]]</f>
        <v>TR3</v>
      </c>
      <c r="Q575" s="13" t="str">
        <f>_xlfn.IFNA(VLOOKUP(Tabla3[[#This Row],[Nivel de tension]],NIVEL[#All],2,0),"")</f>
        <v/>
      </c>
      <c r="R575" s="13" t="str">
        <f>_xlfn.IFNA(VLOOKUP(Tabla3[[#This Row],[DISPOSITIVO]],DISPOSITIVO[],2,0),"")</f>
        <v/>
      </c>
      <c r="S575" s="13" t="str">
        <f>_xlfn.IFNA(VLOOKUP(Tabla3[[#This Row],[PROTECCION SECUNDARIA]],PROTECCION_SECUNDARIA[],2,0),"")</f>
        <v/>
      </c>
      <c r="T575" s="13" t="str">
        <f>_xlfn.IFNA(VLOOKUP(Tabla3[[#This Row],[Que]],QUE[#All],2,0),"")</f>
        <v/>
      </c>
      <c r="U575" s="13" t="str">
        <f>_xlfn.IFNA(VLOOKUP(Tabla3[[#This Row],[Señal]],SEÑAL[#All],2,0),"")</f>
        <v/>
      </c>
      <c r="V575" s="13" t="str">
        <f>_xlfn.IFNA(VLOOKUP(Tabla3[[#This Row],[NUMERO]],SEÑAL[#All],2,0),"")</f>
        <v/>
      </c>
    </row>
    <row r="576" spans="1:22" x14ac:dyDescent="0.25">
      <c r="A576" s="26" t="s">
        <v>1360</v>
      </c>
      <c r="B576" s="2" t="s">
        <v>8</v>
      </c>
      <c r="C576" s="2" t="s">
        <v>89</v>
      </c>
      <c r="D576" s="2" t="s">
        <v>109</v>
      </c>
      <c r="E576" s="2" t="s">
        <v>1381</v>
      </c>
      <c r="J576"/>
      <c r="K576"/>
      <c r="L57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6" s="13" t="str">
        <f>VLOOKUP(Tabla3[[#This Row],[Tipo]],TIPO[#All],2,0)</f>
        <v>ET</v>
      </c>
      <c r="O576" s="13" t="str">
        <f>VLOOKUP(Tabla3[[#This Row],[Lugar]],LUGAR[#All],2,0)</f>
        <v>VMN</v>
      </c>
      <c r="P576" s="13" t="str">
        <f>Tabla3[[#This Row],[SIGLAS]]</f>
        <v>TR3</v>
      </c>
      <c r="Q576" s="13" t="str">
        <f>_xlfn.IFNA(VLOOKUP(Tabla3[[#This Row],[Nivel de tension]],NIVEL[#All],2,0),"")</f>
        <v/>
      </c>
      <c r="R576" s="13" t="str">
        <f>_xlfn.IFNA(VLOOKUP(Tabla3[[#This Row],[DISPOSITIVO]],DISPOSITIVO[],2,0),"")</f>
        <v/>
      </c>
      <c r="S576" s="13" t="str">
        <f>_xlfn.IFNA(VLOOKUP(Tabla3[[#This Row],[PROTECCION SECUNDARIA]],PROTECCION_SECUNDARIA[],2,0),"")</f>
        <v/>
      </c>
      <c r="T576" s="13" t="str">
        <f>_xlfn.IFNA(VLOOKUP(Tabla3[[#This Row],[Que]],QUE[#All],2,0),"")</f>
        <v/>
      </c>
      <c r="U576" s="13" t="str">
        <f>_xlfn.IFNA(VLOOKUP(Tabla3[[#This Row],[Señal]],SEÑAL[#All],2,0),"")</f>
        <v/>
      </c>
      <c r="V576" s="13" t="str">
        <f>_xlfn.IFNA(VLOOKUP(Tabla3[[#This Row],[NUMERO]],SEÑAL[#All],2,0),"")</f>
        <v/>
      </c>
    </row>
    <row r="577" spans="1:22" x14ac:dyDescent="0.25">
      <c r="A577" s="26" t="s">
        <v>1361</v>
      </c>
      <c r="B577" s="2" t="s">
        <v>8</v>
      </c>
      <c r="C577" s="2" t="s">
        <v>89</v>
      </c>
      <c r="D577" s="2" t="s">
        <v>109</v>
      </c>
      <c r="E577" s="2" t="s">
        <v>1381</v>
      </c>
      <c r="J577"/>
      <c r="K577"/>
      <c r="L57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7" s="13" t="str">
        <f>VLOOKUP(Tabla3[[#This Row],[Tipo]],TIPO[#All],2,0)</f>
        <v>ET</v>
      </c>
      <c r="O577" s="13" t="str">
        <f>VLOOKUP(Tabla3[[#This Row],[Lugar]],LUGAR[#All],2,0)</f>
        <v>VMN</v>
      </c>
      <c r="P577" s="13" t="str">
        <f>Tabla3[[#This Row],[SIGLAS]]</f>
        <v>TR3</v>
      </c>
      <c r="Q577" s="13" t="str">
        <f>_xlfn.IFNA(VLOOKUP(Tabla3[[#This Row],[Nivel de tension]],NIVEL[#All],2,0),"")</f>
        <v/>
      </c>
      <c r="R577" s="13" t="str">
        <f>_xlfn.IFNA(VLOOKUP(Tabla3[[#This Row],[DISPOSITIVO]],DISPOSITIVO[],2,0),"")</f>
        <v/>
      </c>
      <c r="S577" s="13" t="str">
        <f>_xlfn.IFNA(VLOOKUP(Tabla3[[#This Row],[PROTECCION SECUNDARIA]],PROTECCION_SECUNDARIA[],2,0),"")</f>
        <v/>
      </c>
      <c r="T577" s="13" t="str">
        <f>_xlfn.IFNA(VLOOKUP(Tabla3[[#This Row],[Que]],QUE[#All],2,0),"")</f>
        <v/>
      </c>
      <c r="U577" s="13" t="str">
        <f>_xlfn.IFNA(VLOOKUP(Tabla3[[#This Row],[Señal]],SEÑAL[#All],2,0),"")</f>
        <v/>
      </c>
      <c r="V577" s="13" t="str">
        <f>_xlfn.IFNA(VLOOKUP(Tabla3[[#This Row],[NUMERO]],SEÑAL[#All],2,0),"")</f>
        <v/>
      </c>
    </row>
    <row r="578" spans="1:22" x14ac:dyDescent="0.25">
      <c r="A578" s="26" t="s">
        <v>1362</v>
      </c>
      <c r="B578" s="2" t="s">
        <v>8</v>
      </c>
      <c r="C578" s="2" t="s">
        <v>89</v>
      </c>
      <c r="D578" s="2" t="s">
        <v>109</v>
      </c>
      <c r="E578" s="2" t="s">
        <v>1381</v>
      </c>
      <c r="J578"/>
      <c r="K578"/>
      <c r="L57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8" s="13" t="str">
        <f>VLOOKUP(Tabla3[[#This Row],[Tipo]],TIPO[#All],2,0)</f>
        <v>ET</v>
      </c>
      <c r="O578" s="13" t="str">
        <f>VLOOKUP(Tabla3[[#This Row],[Lugar]],LUGAR[#All],2,0)</f>
        <v>VMN</v>
      </c>
      <c r="P578" s="13" t="str">
        <f>Tabla3[[#This Row],[SIGLAS]]</f>
        <v>TR3</v>
      </c>
      <c r="Q578" s="13" t="str">
        <f>_xlfn.IFNA(VLOOKUP(Tabla3[[#This Row],[Nivel de tension]],NIVEL[#All],2,0),"")</f>
        <v/>
      </c>
      <c r="R578" s="13" t="str">
        <f>_xlfn.IFNA(VLOOKUP(Tabla3[[#This Row],[DISPOSITIVO]],DISPOSITIVO[],2,0),"")</f>
        <v/>
      </c>
      <c r="S578" s="13" t="str">
        <f>_xlfn.IFNA(VLOOKUP(Tabla3[[#This Row],[PROTECCION SECUNDARIA]],PROTECCION_SECUNDARIA[],2,0),"")</f>
        <v/>
      </c>
      <c r="T578" s="13" t="str">
        <f>_xlfn.IFNA(VLOOKUP(Tabla3[[#This Row],[Que]],QUE[#All],2,0),"")</f>
        <v/>
      </c>
      <c r="U578" s="13" t="str">
        <f>_xlfn.IFNA(VLOOKUP(Tabla3[[#This Row],[Señal]],SEÑAL[#All],2,0),"")</f>
        <v/>
      </c>
      <c r="V578" s="13" t="str">
        <f>_xlfn.IFNA(VLOOKUP(Tabla3[[#This Row],[NUMERO]],SEÑAL[#All],2,0),"")</f>
        <v/>
      </c>
    </row>
    <row r="579" spans="1:22" x14ac:dyDescent="0.25">
      <c r="A579" s="26" t="s">
        <v>1363</v>
      </c>
      <c r="B579" s="2" t="s">
        <v>8</v>
      </c>
      <c r="C579" s="2" t="s">
        <v>89</v>
      </c>
      <c r="D579" s="2" t="s">
        <v>109</v>
      </c>
      <c r="E579" s="2" t="s">
        <v>1381</v>
      </c>
      <c r="J579"/>
      <c r="K579"/>
      <c r="L57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79" s="13" t="str">
        <f>VLOOKUP(Tabla3[[#This Row],[Tipo]],TIPO[#All],2,0)</f>
        <v>ET</v>
      </c>
      <c r="O579" s="13" t="str">
        <f>VLOOKUP(Tabla3[[#This Row],[Lugar]],LUGAR[#All],2,0)</f>
        <v>VMN</v>
      </c>
      <c r="P579" s="13" t="str">
        <f>Tabla3[[#This Row],[SIGLAS]]</f>
        <v>TR3</v>
      </c>
      <c r="Q579" s="13" t="str">
        <f>_xlfn.IFNA(VLOOKUP(Tabla3[[#This Row],[Nivel de tension]],NIVEL[#All],2,0),"")</f>
        <v/>
      </c>
      <c r="R579" s="13" t="str">
        <f>_xlfn.IFNA(VLOOKUP(Tabla3[[#This Row],[DISPOSITIVO]],DISPOSITIVO[],2,0),"")</f>
        <v/>
      </c>
      <c r="S579" s="13" t="str">
        <f>_xlfn.IFNA(VLOOKUP(Tabla3[[#This Row],[PROTECCION SECUNDARIA]],PROTECCION_SECUNDARIA[],2,0),"")</f>
        <v/>
      </c>
      <c r="T579" s="13" t="str">
        <f>_xlfn.IFNA(VLOOKUP(Tabla3[[#This Row],[Que]],QUE[#All],2,0),"")</f>
        <v/>
      </c>
      <c r="U579" s="13" t="str">
        <f>_xlfn.IFNA(VLOOKUP(Tabla3[[#This Row],[Señal]],SEÑAL[#All],2,0),"")</f>
        <v/>
      </c>
      <c r="V579" s="13" t="str">
        <f>_xlfn.IFNA(VLOOKUP(Tabla3[[#This Row],[NUMERO]],SEÑAL[#All],2,0),"")</f>
        <v/>
      </c>
    </row>
    <row r="580" spans="1:22" x14ac:dyDescent="0.25">
      <c r="A580" s="26" t="s">
        <v>1364</v>
      </c>
      <c r="B580" s="2" t="s">
        <v>8</v>
      </c>
      <c r="C580" s="2" t="s">
        <v>89</v>
      </c>
      <c r="D580" s="2" t="s">
        <v>109</v>
      </c>
      <c r="E580" s="2" t="s">
        <v>1381</v>
      </c>
      <c r="J580"/>
      <c r="K580"/>
      <c r="L58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0" s="13" t="str">
        <f>VLOOKUP(Tabla3[[#This Row],[Tipo]],TIPO[#All],2,0)</f>
        <v>ET</v>
      </c>
      <c r="O580" s="13" t="str">
        <f>VLOOKUP(Tabla3[[#This Row],[Lugar]],LUGAR[#All],2,0)</f>
        <v>VMN</v>
      </c>
      <c r="P580" s="13" t="str">
        <f>Tabla3[[#This Row],[SIGLAS]]</f>
        <v>TR3</v>
      </c>
      <c r="Q580" s="13" t="str">
        <f>_xlfn.IFNA(VLOOKUP(Tabla3[[#This Row],[Nivel de tension]],NIVEL[#All],2,0),"")</f>
        <v/>
      </c>
      <c r="R580" s="13" t="str">
        <f>_xlfn.IFNA(VLOOKUP(Tabla3[[#This Row],[DISPOSITIVO]],DISPOSITIVO[],2,0),"")</f>
        <v/>
      </c>
      <c r="S580" s="13" t="str">
        <f>_xlfn.IFNA(VLOOKUP(Tabla3[[#This Row],[PROTECCION SECUNDARIA]],PROTECCION_SECUNDARIA[],2,0),"")</f>
        <v/>
      </c>
      <c r="T580" s="13" t="str">
        <f>_xlfn.IFNA(VLOOKUP(Tabla3[[#This Row],[Que]],QUE[#All],2,0),"")</f>
        <v/>
      </c>
      <c r="U580" s="13" t="str">
        <f>_xlfn.IFNA(VLOOKUP(Tabla3[[#This Row],[Señal]],SEÑAL[#All],2,0),"")</f>
        <v/>
      </c>
      <c r="V580" s="13" t="str">
        <f>_xlfn.IFNA(VLOOKUP(Tabla3[[#This Row],[NUMERO]],SEÑAL[#All],2,0),"")</f>
        <v/>
      </c>
    </row>
    <row r="581" spans="1:22" x14ac:dyDescent="0.25">
      <c r="A581" s="26" t="s">
        <v>1365</v>
      </c>
      <c r="B581" s="2" t="s">
        <v>8</v>
      </c>
      <c r="C581" s="2" t="s">
        <v>89</v>
      </c>
      <c r="D581" s="2" t="s">
        <v>109</v>
      </c>
      <c r="E581" s="2" t="s">
        <v>1381</v>
      </c>
      <c r="J581"/>
      <c r="K581"/>
      <c r="L58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1" s="13" t="str">
        <f>VLOOKUP(Tabla3[[#This Row],[Tipo]],TIPO[#All],2,0)</f>
        <v>ET</v>
      </c>
      <c r="O581" s="13" t="str">
        <f>VLOOKUP(Tabla3[[#This Row],[Lugar]],LUGAR[#All],2,0)</f>
        <v>VMN</v>
      </c>
      <c r="P581" s="13" t="str">
        <f>Tabla3[[#This Row],[SIGLAS]]</f>
        <v>TR3</v>
      </c>
      <c r="Q581" s="13" t="str">
        <f>_xlfn.IFNA(VLOOKUP(Tabla3[[#This Row],[Nivel de tension]],NIVEL[#All],2,0),"")</f>
        <v/>
      </c>
      <c r="R581" s="13" t="str">
        <f>_xlfn.IFNA(VLOOKUP(Tabla3[[#This Row],[DISPOSITIVO]],DISPOSITIVO[],2,0),"")</f>
        <v/>
      </c>
      <c r="S581" s="13" t="str">
        <f>_xlfn.IFNA(VLOOKUP(Tabla3[[#This Row],[PROTECCION SECUNDARIA]],PROTECCION_SECUNDARIA[],2,0),"")</f>
        <v/>
      </c>
      <c r="T581" s="13" t="str">
        <f>_xlfn.IFNA(VLOOKUP(Tabla3[[#This Row],[Que]],QUE[#All],2,0),"")</f>
        <v/>
      </c>
      <c r="U581" s="13" t="str">
        <f>_xlfn.IFNA(VLOOKUP(Tabla3[[#This Row],[Señal]],SEÑAL[#All],2,0),"")</f>
        <v/>
      </c>
      <c r="V581" s="13" t="str">
        <f>_xlfn.IFNA(VLOOKUP(Tabla3[[#This Row],[NUMERO]],SEÑAL[#All],2,0),"")</f>
        <v/>
      </c>
    </row>
    <row r="582" spans="1:22" x14ac:dyDescent="0.25">
      <c r="A582" s="26" t="s">
        <v>1366</v>
      </c>
      <c r="B582" s="2" t="s">
        <v>8</v>
      </c>
      <c r="C582" s="2" t="s">
        <v>89</v>
      </c>
      <c r="D582" s="2" t="s">
        <v>109</v>
      </c>
      <c r="E582" s="2" t="s">
        <v>1381</v>
      </c>
      <c r="J582"/>
      <c r="K582"/>
      <c r="L58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2" s="13" t="str">
        <f>VLOOKUP(Tabla3[[#This Row],[Tipo]],TIPO[#All],2,0)</f>
        <v>ET</v>
      </c>
      <c r="O582" s="13" t="str">
        <f>VLOOKUP(Tabla3[[#This Row],[Lugar]],LUGAR[#All],2,0)</f>
        <v>VMN</v>
      </c>
      <c r="P582" s="13" t="str">
        <f>Tabla3[[#This Row],[SIGLAS]]</f>
        <v>TR3</v>
      </c>
      <c r="Q582" s="13" t="str">
        <f>_xlfn.IFNA(VLOOKUP(Tabla3[[#This Row],[Nivel de tension]],NIVEL[#All],2,0),"")</f>
        <v/>
      </c>
      <c r="R582" s="13" t="str">
        <f>_xlfn.IFNA(VLOOKUP(Tabla3[[#This Row],[DISPOSITIVO]],DISPOSITIVO[],2,0),"")</f>
        <v/>
      </c>
      <c r="S582" s="13" t="str">
        <f>_xlfn.IFNA(VLOOKUP(Tabla3[[#This Row],[PROTECCION SECUNDARIA]],PROTECCION_SECUNDARIA[],2,0),"")</f>
        <v/>
      </c>
      <c r="T582" s="13" t="str">
        <f>_xlfn.IFNA(VLOOKUP(Tabla3[[#This Row],[Que]],QUE[#All],2,0),"")</f>
        <v/>
      </c>
      <c r="U582" s="13" t="str">
        <f>_xlfn.IFNA(VLOOKUP(Tabla3[[#This Row],[Señal]],SEÑAL[#All],2,0),"")</f>
        <v/>
      </c>
      <c r="V582" s="13" t="str">
        <f>_xlfn.IFNA(VLOOKUP(Tabla3[[#This Row],[NUMERO]],SEÑAL[#All],2,0),"")</f>
        <v/>
      </c>
    </row>
    <row r="583" spans="1:22" x14ac:dyDescent="0.25">
      <c r="A583" s="26" t="s">
        <v>1367</v>
      </c>
      <c r="B583" s="2" t="s">
        <v>8</v>
      </c>
      <c r="C583" s="2" t="s">
        <v>89</v>
      </c>
      <c r="D583" s="2" t="s">
        <v>109</v>
      </c>
      <c r="E583" s="2" t="s">
        <v>1381</v>
      </c>
      <c r="J583"/>
      <c r="K583"/>
      <c r="L58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3" s="13" t="str">
        <f>VLOOKUP(Tabla3[[#This Row],[Tipo]],TIPO[#All],2,0)</f>
        <v>ET</v>
      </c>
      <c r="O583" s="13" t="str">
        <f>VLOOKUP(Tabla3[[#This Row],[Lugar]],LUGAR[#All],2,0)</f>
        <v>VMN</v>
      </c>
      <c r="P583" s="13" t="str">
        <f>Tabla3[[#This Row],[SIGLAS]]</f>
        <v>TR3</v>
      </c>
      <c r="Q583" s="13" t="str">
        <f>_xlfn.IFNA(VLOOKUP(Tabla3[[#This Row],[Nivel de tension]],NIVEL[#All],2,0),"")</f>
        <v/>
      </c>
      <c r="R583" s="13" t="str">
        <f>_xlfn.IFNA(VLOOKUP(Tabla3[[#This Row],[DISPOSITIVO]],DISPOSITIVO[],2,0),"")</f>
        <v/>
      </c>
      <c r="S583" s="13" t="str">
        <f>_xlfn.IFNA(VLOOKUP(Tabla3[[#This Row],[PROTECCION SECUNDARIA]],PROTECCION_SECUNDARIA[],2,0),"")</f>
        <v/>
      </c>
      <c r="T583" s="13" t="str">
        <f>_xlfn.IFNA(VLOOKUP(Tabla3[[#This Row],[Que]],QUE[#All],2,0),"")</f>
        <v/>
      </c>
      <c r="U583" s="13" t="str">
        <f>_xlfn.IFNA(VLOOKUP(Tabla3[[#This Row],[Señal]],SEÑAL[#All],2,0),"")</f>
        <v/>
      </c>
      <c r="V583" s="13" t="str">
        <f>_xlfn.IFNA(VLOOKUP(Tabla3[[#This Row],[NUMERO]],SEÑAL[#All],2,0),"")</f>
        <v/>
      </c>
    </row>
    <row r="584" spans="1:22" x14ac:dyDescent="0.25">
      <c r="A584" s="26" t="s">
        <v>1368</v>
      </c>
      <c r="B584" s="2" t="s">
        <v>8</v>
      </c>
      <c r="C584" s="2" t="s">
        <v>89</v>
      </c>
      <c r="D584" s="2" t="s">
        <v>109</v>
      </c>
      <c r="E584" s="2" t="s">
        <v>1381</v>
      </c>
      <c r="J584"/>
      <c r="K584"/>
      <c r="L58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4" s="13" t="str">
        <f>VLOOKUP(Tabla3[[#This Row],[Tipo]],TIPO[#All],2,0)</f>
        <v>ET</v>
      </c>
      <c r="O584" s="13" t="str">
        <f>VLOOKUP(Tabla3[[#This Row],[Lugar]],LUGAR[#All],2,0)</f>
        <v>VMN</v>
      </c>
      <c r="P584" s="13" t="str">
        <f>Tabla3[[#This Row],[SIGLAS]]</f>
        <v>TR3</v>
      </c>
      <c r="Q584" s="13" t="str">
        <f>_xlfn.IFNA(VLOOKUP(Tabla3[[#This Row],[Nivel de tension]],NIVEL[#All],2,0),"")</f>
        <v/>
      </c>
      <c r="R584" s="13" t="str">
        <f>_xlfn.IFNA(VLOOKUP(Tabla3[[#This Row],[DISPOSITIVO]],DISPOSITIVO[],2,0),"")</f>
        <v/>
      </c>
      <c r="S584" s="13" t="str">
        <f>_xlfn.IFNA(VLOOKUP(Tabla3[[#This Row],[PROTECCION SECUNDARIA]],PROTECCION_SECUNDARIA[],2,0),"")</f>
        <v/>
      </c>
      <c r="T584" s="13" t="str">
        <f>_xlfn.IFNA(VLOOKUP(Tabla3[[#This Row],[Que]],QUE[#All],2,0),"")</f>
        <v/>
      </c>
      <c r="U584" s="13" t="str">
        <f>_xlfn.IFNA(VLOOKUP(Tabla3[[#This Row],[Señal]],SEÑAL[#All],2,0),"")</f>
        <v/>
      </c>
      <c r="V584" s="13" t="str">
        <f>_xlfn.IFNA(VLOOKUP(Tabla3[[#This Row],[NUMERO]],SEÑAL[#All],2,0),"")</f>
        <v/>
      </c>
    </row>
    <row r="585" spans="1:22" x14ac:dyDescent="0.25">
      <c r="A585" s="26" t="s">
        <v>1369</v>
      </c>
      <c r="B585" s="2" t="s">
        <v>8</v>
      </c>
      <c r="C585" s="2" t="s">
        <v>89</v>
      </c>
      <c r="D585" s="2" t="s">
        <v>109</v>
      </c>
      <c r="E585" s="2" t="s">
        <v>1381</v>
      </c>
      <c r="J585"/>
      <c r="K585"/>
      <c r="L58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5" s="13" t="str">
        <f>VLOOKUP(Tabla3[[#This Row],[Tipo]],TIPO[#All],2,0)</f>
        <v>ET</v>
      </c>
      <c r="O585" s="13" t="str">
        <f>VLOOKUP(Tabla3[[#This Row],[Lugar]],LUGAR[#All],2,0)</f>
        <v>VMN</v>
      </c>
      <c r="P585" s="13" t="str">
        <f>Tabla3[[#This Row],[SIGLAS]]</f>
        <v>TR3</v>
      </c>
      <c r="Q585" s="13" t="str">
        <f>_xlfn.IFNA(VLOOKUP(Tabla3[[#This Row],[Nivel de tension]],NIVEL[#All],2,0),"")</f>
        <v/>
      </c>
      <c r="R585" s="13" t="str">
        <f>_xlfn.IFNA(VLOOKUP(Tabla3[[#This Row],[DISPOSITIVO]],DISPOSITIVO[],2,0),"")</f>
        <v/>
      </c>
      <c r="S585" s="13" t="str">
        <f>_xlfn.IFNA(VLOOKUP(Tabla3[[#This Row],[PROTECCION SECUNDARIA]],PROTECCION_SECUNDARIA[],2,0),"")</f>
        <v/>
      </c>
      <c r="T585" s="13" t="str">
        <f>_xlfn.IFNA(VLOOKUP(Tabla3[[#This Row],[Que]],QUE[#All],2,0),"")</f>
        <v/>
      </c>
      <c r="U585" s="13" t="str">
        <f>_xlfn.IFNA(VLOOKUP(Tabla3[[#This Row],[Señal]],SEÑAL[#All],2,0),"")</f>
        <v/>
      </c>
      <c r="V585" s="13" t="str">
        <f>_xlfn.IFNA(VLOOKUP(Tabla3[[#This Row],[NUMERO]],SEÑAL[#All],2,0),"")</f>
        <v/>
      </c>
    </row>
    <row r="586" spans="1:22" x14ac:dyDescent="0.25">
      <c r="A586" s="26" t="s">
        <v>1370</v>
      </c>
      <c r="B586" s="2" t="s">
        <v>8</v>
      </c>
      <c r="C586" s="2" t="s">
        <v>89</v>
      </c>
      <c r="D586" s="2" t="s">
        <v>109</v>
      </c>
      <c r="E586" s="2" t="s">
        <v>1381</v>
      </c>
      <c r="J586"/>
      <c r="K586"/>
      <c r="L58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6" s="13" t="str">
        <f>VLOOKUP(Tabla3[[#This Row],[Tipo]],TIPO[#All],2,0)</f>
        <v>ET</v>
      </c>
      <c r="O586" s="13" t="str">
        <f>VLOOKUP(Tabla3[[#This Row],[Lugar]],LUGAR[#All],2,0)</f>
        <v>VMN</v>
      </c>
      <c r="P586" s="13" t="str">
        <f>Tabla3[[#This Row],[SIGLAS]]</f>
        <v>TR3</v>
      </c>
      <c r="Q586" s="13" t="str">
        <f>_xlfn.IFNA(VLOOKUP(Tabla3[[#This Row],[Nivel de tension]],NIVEL[#All],2,0),"")</f>
        <v/>
      </c>
      <c r="R586" s="13" t="str">
        <f>_xlfn.IFNA(VLOOKUP(Tabla3[[#This Row],[DISPOSITIVO]],DISPOSITIVO[],2,0),"")</f>
        <v/>
      </c>
      <c r="S586" s="13" t="str">
        <f>_xlfn.IFNA(VLOOKUP(Tabla3[[#This Row],[PROTECCION SECUNDARIA]],PROTECCION_SECUNDARIA[],2,0),"")</f>
        <v/>
      </c>
      <c r="T586" s="13" t="str">
        <f>_xlfn.IFNA(VLOOKUP(Tabla3[[#This Row],[Que]],QUE[#All],2,0),"")</f>
        <v/>
      </c>
      <c r="U586" s="13" t="str">
        <f>_xlfn.IFNA(VLOOKUP(Tabla3[[#This Row],[Señal]],SEÑAL[#All],2,0),"")</f>
        <v/>
      </c>
      <c r="V586" s="13" t="str">
        <f>_xlfn.IFNA(VLOOKUP(Tabla3[[#This Row],[NUMERO]],SEÑAL[#All],2,0),"")</f>
        <v/>
      </c>
    </row>
    <row r="587" spans="1:22" x14ac:dyDescent="0.25">
      <c r="A587" s="26" t="s">
        <v>1371</v>
      </c>
      <c r="B587" s="2" t="s">
        <v>8</v>
      </c>
      <c r="C587" s="2" t="s">
        <v>89</v>
      </c>
      <c r="D587" s="2" t="s">
        <v>109</v>
      </c>
      <c r="E587" s="2" t="s">
        <v>1381</v>
      </c>
      <c r="J587"/>
      <c r="K587"/>
      <c r="L587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7" s="13" t="str">
        <f>VLOOKUP(Tabla3[[#This Row],[Tipo]],TIPO[#All],2,0)</f>
        <v>ET</v>
      </c>
      <c r="O587" s="13" t="str">
        <f>VLOOKUP(Tabla3[[#This Row],[Lugar]],LUGAR[#All],2,0)</f>
        <v>VMN</v>
      </c>
      <c r="P587" s="13" t="str">
        <f>Tabla3[[#This Row],[SIGLAS]]</f>
        <v>TR3</v>
      </c>
      <c r="Q587" s="13" t="str">
        <f>_xlfn.IFNA(VLOOKUP(Tabla3[[#This Row],[Nivel de tension]],NIVEL[#All],2,0),"")</f>
        <v/>
      </c>
      <c r="R587" s="13" t="str">
        <f>_xlfn.IFNA(VLOOKUP(Tabla3[[#This Row],[DISPOSITIVO]],DISPOSITIVO[],2,0),"")</f>
        <v/>
      </c>
      <c r="S587" s="13" t="str">
        <f>_xlfn.IFNA(VLOOKUP(Tabla3[[#This Row],[PROTECCION SECUNDARIA]],PROTECCION_SECUNDARIA[],2,0),"")</f>
        <v/>
      </c>
      <c r="T587" s="13" t="str">
        <f>_xlfn.IFNA(VLOOKUP(Tabla3[[#This Row],[Que]],QUE[#All],2,0),"")</f>
        <v/>
      </c>
      <c r="U587" s="13" t="str">
        <f>_xlfn.IFNA(VLOOKUP(Tabla3[[#This Row],[Señal]],SEÑAL[#All],2,0),"")</f>
        <v/>
      </c>
      <c r="V587" s="13" t="str">
        <f>_xlfn.IFNA(VLOOKUP(Tabla3[[#This Row],[NUMERO]],SEÑAL[#All],2,0),"")</f>
        <v/>
      </c>
    </row>
    <row r="588" spans="1:22" x14ac:dyDescent="0.25">
      <c r="A588" s="26" t="s">
        <v>1372</v>
      </c>
      <c r="B588" s="2" t="s">
        <v>8</v>
      </c>
      <c r="C588" s="2" t="s">
        <v>89</v>
      </c>
      <c r="D588" s="2" t="s">
        <v>109</v>
      </c>
      <c r="E588" s="2" t="s">
        <v>1381</v>
      </c>
      <c r="J588"/>
      <c r="K588"/>
      <c r="L588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8" s="13" t="str">
        <f>VLOOKUP(Tabla3[[#This Row],[Tipo]],TIPO[#All],2,0)</f>
        <v>ET</v>
      </c>
      <c r="O588" s="13" t="str">
        <f>VLOOKUP(Tabla3[[#This Row],[Lugar]],LUGAR[#All],2,0)</f>
        <v>VMN</v>
      </c>
      <c r="P588" s="13" t="str">
        <f>Tabla3[[#This Row],[SIGLAS]]</f>
        <v>TR3</v>
      </c>
      <c r="Q588" s="13" t="str">
        <f>_xlfn.IFNA(VLOOKUP(Tabla3[[#This Row],[Nivel de tension]],NIVEL[#All],2,0),"")</f>
        <v/>
      </c>
      <c r="R588" s="13" t="str">
        <f>_xlfn.IFNA(VLOOKUP(Tabla3[[#This Row],[DISPOSITIVO]],DISPOSITIVO[],2,0),"")</f>
        <v/>
      </c>
      <c r="S588" s="13" t="str">
        <f>_xlfn.IFNA(VLOOKUP(Tabla3[[#This Row],[PROTECCION SECUNDARIA]],PROTECCION_SECUNDARIA[],2,0),"")</f>
        <v/>
      </c>
      <c r="T588" s="13" t="str">
        <f>_xlfn.IFNA(VLOOKUP(Tabla3[[#This Row],[Que]],QUE[#All],2,0),"")</f>
        <v/>
      </c>
      <c r="U588" s="13" t="str">
        <f>_xlfn.IFNA(VLOOKUP(Tabla3[[#This Row],[Señal]],SEÑAL[#All],2,0),"")</f>
        <v/>
      </c>
      <c r="V588" s="13" t="str">
        <f>_xlfn.IFNA(VLOOKUP(Tabla3[[#This Row],[NUMERO]],SEÑAL[#All],2,0),"")</f>
        <v/>
      </c>
    </row>
    <row r="589" spans="1:22" x14ac:dyDescent="0.25">
      <c r="A589" s="26" t="s">
        <v>1373</v>
      </c>
      <c r="B589" s="2" t="s">
        <v>8</v>
      </c>
      <c r="C589" s="2" t="s">
        <v>89</v>
      </c>
      <c r="D589" s="2" t="s">
        <v>109</v>
      </c>
      <c r="E589" s="2" t="s">
        <v>1381</v>
      </c>
      <c r="J589"/>
      <c r="K589"/>
      <c r="L589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89" s="13" t="str">
        <f>VLOOKUP(Tabla3[[#This Row],[Tipo]],TIPO[#All],2,0)</f>
        <v>ET</v>
      </c>
      <c r="O589" s="13" t="str">
        <f>VLOOKUP(Tabla3[[#This Row],[Lugar]],LUGAR[#All],2,0)</f>
        <v>VMN</v>
      </c>
      <c r="P589" s="13" t="str">
        <f>Tabla3[[#This Row],[SIGLAS]]</f>
        <v>TR3</v>
      </c>
      <c r="Q589" s="13" t="str">
        <f>_xlfn.IFNA(VLOOKUP(Tabla3[[#This Row],[Nivel de tension]],NIVEL[#All],2,0),"")</f>
        <v/>
      </c>
      <c r="R589" s="13" t="str">
        <f>_xlfn.IFNA(VLOOKUP(Tabla3[[#This Row],[DISPOSITIVO]],DISPOSITIVO[],2,0),"")</f>
        <v/>
      </c>
      <c r="S589" s="13" t="str">
        <f>_xlfn.IFNA(VLOOKUP(Tabla3[[#This Row],[PROTECCION SECUNDARIA]],PROTECCION_SECUNDARIA[],2,0),"")</f>
        <v/>
      </c>
      <c r="T589" s="13" t="str">
        <f>_xlfn.IFNA(VLOOKUP(Tabla3[[#This Row],[Que]],QUE[#All],2,0),"")</f>
        <v/>
      </c>
      <c r="U589" s="13" t="str">
        <f>_xlfn.IFNA(VLOOKUP(Tabla3[[#This Row],[Señal]],SEÑAL[#All],2,0),"")</f>
        <v/>
      </c>
      <c r="V589" s="13" t="str">
        <f>_xlfn.IFNA(VLOOKUP(Tabla3[[#This Row],[NUMERO]],SEÑAL[#All],2,0),"")</f>
        <v/>
      </c>
    </row>
    <row r="590" spans="1:22" x14ac:dyDescent="0.25">
      <c r="A590" s="26" t="s">
        <v>1374</v>
      </c>
      <c r="B590" s="2" t="s">
        <v>8</v>
      </c>
      <c r="C590" s="2" t="s">
        <v>89</v>
      </c>
      <c r="D590" s="2" t="s">
        <v>109</v>
      </c>
      <c r="E590" s="2" t="s">
        <v>1381</v>
      </c>
      <c r="J590"/>
      <c r="K590"/>
      <c r="L590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0" s="13" t="str">
        <f>VLOOKUP(Tabla3[[#This Row],[Tipo]],TIPO[#All],2,0)</f>
        <v>ET</v>
      </c>
      <c r="O590" s="13" t="str">
        <f>VLOOKUP(Tabla3[[#This Row],[Lugar]],LUGAR[#All],2,0)</f>
        <v>VMN</v>
      </c>
      <c r="P590" s="13" t="str">
        <f>Tabla3[[#This Row],[SIGLAS]]</f>
        <v>TR3</v>
      </c>
      <c r="Q590" s="13" t="str">
        <f>_xlfn.IFNA(VLOOKUP(Tabla3[[#This Row],[Nivel de tension]],NIVEL[#All],2,0),"")</f>
        <v/>
      </c>
      <c r="R590" s="13" t="str">
        <f>_xlfn.IFNA(VLOOKUP(Tabla3[[#This Row],[DISPOSITIVO]],DISPOSITIVO[],2,0),"")</f>
        <v/>
      </c>
      <c r="S590" s="13" t="str">
        <f>_xlfn.IFNA(VLOOKUP(Tabla3[[#This Row],[PROTECCION SECUNDARIA]],PROTECCION_SECUNDARIA[],2,0),"")</f>
        <v/>
      </c>
      <c r="T590" s="13" t="str">
        <f>_xlfn.IFNA(VLOOKUP(Tabla3[[#This Row],[Que]],QUE[#All],2,0),"")</f>
        <v/>
      </c>
      <c r="U590" s="13" t="str">
        <f>_xlfn.IFNA(VLOOKUP(Tabla3[[#This Row],[Señal]],SEÑAL[#All],2,0),"")</f>
        <v/>
      </c>
      <c r="V590" s="13" t="str">
        <f>_xlfn.IFNA(VLOOKUP(Tabla3[[#This Row],[NUMERO]],SEÑAL[#All],2,0),"")</f>
        <v/>
      </c>
    </row>
    <row r="591" spans="1:22" x14ac:dyDescent="0.25">
      <c r="A591" s="26" t="s">
        <v>1375</v>
      </c>
      <c r="B591" s="2" t="s">
        <v>8</v>
      </c>
      <c r="C591" s="2" t="s">
        <v>89</v>
      </c>
      <c r="D591" s="2" t="s">
        <v>109</v>
      </c>
      <c r="E591" s="2" t="s">
        <v>1381</v>
      </c>
      <c r="J591"/>
      <c r="K591"/>
      <c r="L591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1" s="13" t="str">
        <f>VLOOKUP(Tabla3[[#This Row],[Tipo]],TIPO[#All],2,0)</f>
        <v>ET</v>
      </c>
      <c r="O591" s="13" t="str">
        <f>VLOOKUP(Tabla3[[#This Row],[Lugar]],LUGAR[#All],2,0)</f>
        <v>VMN</v>
      </c>
      <c r="P591" s="13" t="str">
        <f>Tabla3[[#This Row],[SIGLAS]]</f>
        <v>TR3</v>
      </c>
      <c r="Q591" s="13" t="str">
        <f>_xlfn.IFNA(VLOOKUP(Tabla3[[#This Row],[Nivel de tension]],NIVEL[#All],2,0),"")</f>
        <v/>
      </c>
      <c r="R591" s="13" t="str">
        <f>_xlfn.IFNA(VLOOKUP(Tabla3[[#This Row],[DISPOSITIVO]],DISPOSITIVO[],2,0),"")</f>
        <v/>
      </c>
      <c r="S591" s="13" t="str">
        <f>_xlfn.IFNA(VLOOKUP(Tabla3[[#This Row],[PROTECCION SECUNDARIA]],PROTECCION_SECUNDARIA[],2,0),"")</f>
        <v/>
      </c>
      <c r="T591" s="13" t="str">
        <f>_xlfn.IFNA(VLOOKUP(Tabla3[[#This Row],[Que]],QUE[#All],2,0),"")</f>
        <v/>
      </c>
      <c r="U591" s="13" t="str">
        <f>_xlfn.IFNA(VLOOKUP(Tabla3[[#This Row],[Señal]],SEÑAL[#All],2,0),"")</f>
        <v/>
      </c>
      <c r="V591" s="13" t="str">
        <f>_xlfn.IFNA(VLOOKUP(Tabla3[[#This Row],[NUMERO]],SEÑAL[#All],2,0),"")</f>
        <v/>
      </c>
    </row>
    <row r="592" spans="1:22" x14ac:dyDescent="0.25">
      <c r="A592" s="26" t="s">
        <v>1376</v>
      </c>
      <c r="B592" s="2" t="s">
        <v>8</v>
      </c>
      <c r="C592" s="2" t="s">
        <v>89</v>
      </c>
      <c r="D592" s="2" t="s">
        <v>109</v>
      </c>
      <c r="E592" s="2" t="s">
        <v>1381</v>
      </c>
      <c r="J592"/>
      <c r="K592"/>
      <c r="L592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2" s="13" t="str">
        <f>VLOOKUP(Tabla3[[#This Row],[Tipo]],TIPO[#All],2,0)</f>
        <v>ET</v>
      </c>
      <c r="O592" s="13" t="str">
        <f>VLOOKUP(Tabla3[[#This Row],[Lugar]],LUGAR[#All],2,0)</f>
        <v>VMN</v>
      </c>
      <c r="P592" s="13" t="str">
        <f>Tabla3[[#This Row],[SIGLAS]]</f>
        <v>TR3</v>
      </c>
      <c r="Q592" s="13" t="str">
        <f>_xlfn.IFNA(VLOOKUP(Tabla3[[#This Row],[Nivel de tension]],NIVEL[#All],2,0),"")</f>
        <v/>
      </c>
      <c r="R592" s="13" t="str">
        <f>_xlfn.IFNA(VLOOKUP(Tabla3[[#This Row],[DISPOSITIVO]],DISPOSITIVO[],2,0),"")</f>
        <v/>
      </c>
      <c r="S592" s="13" t="str">
        <f>_xlfn.IFNA(VLOOKUP(Tabla3[[#This Row],[PROTECCION SECUNDARIA]],PROTECCION_SECUNDARIA[],2,0),"")</f>
        <v/>
      </c>
      <c r="T592" s="13" t="str">
        <f>_xlfn.IFNA(VLOOKUP(Tabla3[[#This Row],[Que]],QUE[#All],2,0),"")</f>
        <v/>
      </c>
      <c r="U592" s="13" t="str">
        <f>_xlfn.IFNA(VLOOKUP(Tabla3[[#This Row],[Señal]],SEÑAL[#All],2,0),"")</f>
        <v/>
      </c>
      <c r="V592" s="13" t="str">
        <f>_xlfn.IFNA(VLOOKUP(Tabla3[[#This Row],[NUMERO]],SEÑAL[#All],2,0),"")</f>
        <v/>
      </c>
    </row>
    <row r="593" spans="1:22" x14ac:dyDescent="0.25">
      <c r="A593" s="26" t="s">
        <v>1377</v>
      </c>
      <c r="B593" s="2" t="s">
        <v>8</v>
      </c>
      <c r="C593" s="2" t="s">
        <v>89</v>
      </c>
      <c r="D593" s="2" t="s">
        <v>109</v>
      </c>
      <c r="E593" s="2" t="s">
        <v>1381</v>
      </c>
      <c r="J593"/>
      <c r="K593"/>
      <c r="L593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3" s="13" t="str">
        <f>VLOOKUP(Tabla3[[#This Row],[Tipo]],TIPO[#All],2,0)</f>
        <v>ET</v>
      </c>
      <c r="O593" s="13" t="str">
        <f>VLOOKUP(Tabla3[[#This Row],[Lugar]],LUGAR[#All],2,0)</f>
        <v>VMN</v>
      </c>
      <c r="P593" s="13" t="str">
        <f>Tabla3[[#This Row],[SIGLAS]]</f>
        <v>TR3</v>
      </c>
      <c r="Q593" s="13" t="str">
        <f>_xlfn.IFNA(VLOOKUP(Tabla3[[#This Row],[Nivel de tension]],NIVEL[#All],2,0),"")</f>
        <v/>
      </c>
      <c r="R593" s="13" t="str">
        <f>_xlfn.IFNA(VLOOKUP(Tabla3[[#This Row],[DISPOSITIVO]],DISPOSITIVO[],2,0),"")</f>
        <v/>
      </c>
      <c r="S593" s="13" t="str">
        <f>_xlfn.IFNA(VLOOKUP(Tabla3[[#This Row],[PROTECCION SECUNDARIA]],PROTECCION_SECUNDARIA[],2,0),"")</f>
        <v/>
      </c>
      <c r="T593" s="13" t="str">
        <f>_xlfn.IFNA(VLOOKUP(Tabla3[[#This Row],[Que]],QUE[#All],2,0),"")</f>
        <v/>
      </c>
      <c r="U593" s="13" t="str">
        <f>_xlfn.IFNA(VLOOKUP(Tabla3[[#This Row],[Señal]],SEÑAL[#All],2,0),"")</f>
        <v/>
      </c>
      <c r="V593" s="13" t="str">
        <f>_xlfn.IFNA(VLOOKUP(Tabla3[[#This Row],[NUMERO]],SEÑAL[#All],2,0),"")</f>
        <v/>
      </c>
    </row>
    <row r="594" spans="1:22" x14ac:dyDescent="0.25">
      <c r="A594" s="26" t="s">
        <v>1378</v>
      </c>
      <c r="B594" s="2" t="s">
        <v>8</v>
      </c>
      <c r="C594" s="2" t="s">
        <v>89</v>
      </c>
      <c r="D594" s="2" t="s">
        <v>109</v>
      </c>
      <c r="E594" s="2" t="s">
        <v>1381</v>
      </c>
      <c r="J594"/>
      <c r="K594"/>
      <c r="L594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4" s="13" t="str">
        <f>VLOOKUP(Tabla3[[#This Row],[Tipo]],TIPO[#All],2,0)</f>
        <v>ET</v>
      </c>
      <c r="O594" s="13" t="str">
        <f>VLOOKUP(Tabla3[[#This Row],[Lugar]],LUGAR[#All],2,0)</f>
        <v>VMN</v>
      </c>
      <c r="P594" s="13" t="str">
        <f>Tabla3[[#This Row],[SIGLAS]]</f>
        <v>TR3</v>
      </c>
      <c r="Q594" s="13" t="str">
        <f>_xlfn.IFNA(VLOOKUP(Tabla3[[#This Row],[Nivel de tension]],NIVEL[#All],2,0),"")</f>
        <v/>
      </c>
      <c r="R594" s="13" t="str">
        <f>_xlfn.IFNA(VLOOKUP(Tabla3[[#This Row],[DISPOSITIVO]],DISPOSITIVO[],2,0),"")</f>
        <v/>
      </c>
      <c r="S594" s="13" t="str">
        <f>_xlfn.IFNA(VLOOKUP(Tabla3[[#This Row],[PROTECCION SECUNDARIA]],PROTECCION_SECUNDARIA[],2,0),"")</f>
        <v/>
      </c>
      <c r="T594" s="13" t="str">
        <f>_xlfn.IFNA(VLOOKUP(Tabla3[[#This Row],[Que]],QUE[#All],2,0),"")</f>
        <v/>
      </c>
      <c r="U594" s="13" t="str">
        <f>_xlfn.IFNA(VLOOKUP(Tabla3[[#This Row],[Señal]],SEÑAL[#All],2,0),"")</f>
        <v/>
      </c>
      <c r="V594" s="13" t="str">
        <f>_xlfn.IFNA(VLOOKUP(Tabla3[[#This Row],[NUMERO]],SEÑAL[#All],2,0),"")</f>
        <v/>
      </c>
    </row>
    <row r="595" spans="1:22" x14ac:dyDescent="0.25">
      <c r="A595" s="26" t="s">
        <v>1379</v>
      </c>
      <c r="B595" s="2" t="s">
        <v>8</v>
      </c>
      <c r="C595" s="2" t="s">
        <v>89</v>
      </c>
      <c r="D595" s="2" t="s">
        <v>109</v>
      </c>
      <c r="E595" s="2" t="s">
        <v>1381</v>
      </c>
      <c r="J595"/>
      <c r="K595"/>
      <c r="L595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5" s="13" t="str">
        <f>VLOOKUP(Tabla3[[#This Row],[Tipo]],TIPO[#All],2,0)</f>
        <v>ET</v>
      </c>
      <c r="O595" s="13" t="str">
        <f>VLOOKUP(Tabla3[[#This Row],[Lugar]],LUGAR[#All],2,0)</f>
        <v>VMN</v>
      </c>
      <c r="P595" s="13" t="str">
        <f>Tabla3[[#This Row],[SIGLAS]]</f>
        <v>TR3</v>
      </c>
      <c r="Q595" s="13" t="str">
        <f>_xlfn.IFNA(VLOOKUP(Tabla3[[#This Row],[Nivel de tension]],NIVEL[#All],2,0),"")</f>
        <v/>
      </c>
      <c r="R595" s="13" t="str">
        <f>_xlfn.IFNA(VLOOKUP(Tabla3[[#This Row],[DISPOSITIVO]],DISPOSITIVO[],2,0),"")</f>
        <v/>
      </c>
      <c r="S595" s="13" t="str">
        <f>_xlfn.IFNA(VLOOKUP(Tabla3[[#This Row],[PROTECCION SECUNDARIA]],PROTECCION_SECUNDARIA[],2,0),"")</f>
        <v/>
      </c>
      <c r="T595" s="13" t="str">
        <f>_xlfn.IFNA(VLOOKUP(Tabla3[[#This Row],[Que]],QUE[#All],2,0),"")</f>
        <v/>
      </c>
      <c r="U595" s="13" t="str">
        <f>_xlfn.IFNA(VLOOKUP(Tabla3[[#This Row],[Señal]],SEÑAL[#All],2,0),"")</f>
        <v/>
      </c>
      <c r="V595" s="13" t="str">
        <f>_xlfn.IFNA(VLOOKUP(Tabla3[[#This Row],[NUMERO]],SEÑAL[#All],2,0),"")</f>
        <v/>
      </c>
    </row>
    <row r="596" spans="1:22" x14ac:dyDescent="0.25">
      <c r="A596" s="26" t="s">
        <v>1380</v>
      </c>
      <c r="B596" s="2" t="s">
        <v>8</v>
      </c>
      <c r="C596" s="2" t="s">
        <v>89</v>
      </c>
      <c r="D596" s="2" t="s">
        <v>109</v>
      </c>
      <c r="E596" s="2" t="s">
        <v>1381</v>
      </c>
      <c r="J596"/>
      <c r="K596"/>
      <c r="L596" s="13" t="str">
        <f>CONCATENATE(Tabla3[[#This Row],[3]],Tabla3[[#This Row],[4]],".",Tabla3[[#This Row],[5]],".",Tabla3[[#This Row],[6]],Tabla3[[#This Row],[7]],Tabla3[[#This Row],[8]],Tabla3[[#This Row],[9]],Tabla3[[#This Row],[10]],Tabla3[[#This Row],[11]])</f>
        <v>ETVMN.TR3.</v>
      </c>
      <c r="N596" s="13" t="str">
        <f>VLOOKUP(Tabla3[[#This Row],[Tipo]],TIPO[#All],2,0)</f>
        <v>ET</v>
      </c>
      <c r="O596" s="13" t="str">
        <f>VLOOKUP(Tabla3[[#This Row],[Lugar]],LUGAR[#All],2,0)</f>
        <v>VMN</v>
      </c>
      <c r="P596" s="13" t="str">
        <f>Tabla3[[#This Row],[SIGLAS]]</f>
        <v>TR3</v>
      </c>
      <c r="Q596" s="13" t="str">
        <f>_xlfn.IFNA(VLOOKUP(Tabla3[[#This Row],[Nivel de tension]],NIVEL[#All],2,0),"")</f>
        <v/>
      </c>
      <c r="R596" s="13" t="str">
        <f>_xlfn.IFNA(VLOOKUP(Tabla3[[#This Row],[DISPOSITIVO]],DISPOSITIVO[],2,0),"")</f>
        <v/>
      </c>
      <c r="S596" s="13" t="str">
        <f>_xlfn.IFNA(VLOOKUP(Tabla3[[#This Row],[PROTECCION SECUNDARIA]],PROTECCION_SECUNDARIA[],2,0),"")</f>
        <v/>
      </c>
      <c r="T596" s="13" t="str">
        <f>_xlfn.IFNA(VLOOKUP(Tabla3[[#This Row],[Que]],QUE[#All],2,0),"")</f>
        <v/>
      </c>
      <c r="U596" s="13" t="str">
        <f>_xlfn.IFNA(VLOOKUP(Tabla3[[#This Row],[Señal]],SEÑAL[#All],2,0),"")</f>
        <v/>
      </c>
      <c r="V596" s="13" t="str">
        <f>_xlfn.IFNA(VLOOKUP(Tabla3[[#This Row],[NUMERO]],SEÑAL[#All],2,0),"")</f>
        <v/>
      </c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68727FDD-17AF-43F6-8420-156B854A1FD8}">
          <x14:formula1>
            <xm:f>LISTAS!$I$2:$I$5</xm:f>
          </x14:formula1>
          <xm:sqref>F2:F596</xm:sqref>
        </x14:dataValidation>
        <x14:dataValidation type="list" allowBlank="1" showInputMessage="1" showErrorMessage="1" xr:uid="{0880B921-FE92-46DB-A43C-C1D341BE669A}">
          <x14:formula1>
            <xm:f>LISTAS!$G$2:$G$5</xm:f>
          </x14:formula1>
          <xm:sqref>D2:D596</xm:sqref>
        </x14:dataValidation>
        <x14:dataValidation type="list" allowBlank="1" showInputMessage="1" showErrorMessage="1" xr:uid="{9BB8E8C3-888C-4CDB-BCFA-8570CC53E512}">
          <x14:formula1>
            <xm:f>LISTAS!$A$2:$A$500</xm:f>
          </x14:formula1>
          <xm:sqref>C2:C596</xm:sqref>
        </x14:dataValidation>
        <x14:dataValidation type="list" allowBlank="1" showInputMessage="1" showErrorMessage="1" xr:uid="{7685C9B9-CA89-4E71-9B4F-D8F8D071AF30}">
          <x14:formula1>
            <xm:f>LISTAS!$D$2:$D$4</xm:f>
          </x14:formula1>
          <xm:sqref>B2:B596</xm:sqref>
        </x14:dataValidation>
        <x14:dataValidation type="list" allowBlank="1" showInputMessage="1" showErrorMessage="1" xr:uid="{662D6637-6211-45DE-A415-F67FF2988D98}">
          <x14:formula1>
            <xm:f>LISTAS!$S:$S</xm:f>
          </x14:formula1>
          <xm:sqref>J65 I2:I596 J27</xm:sqref>
        </x14:dataValidation>
        <x14:dataValidation type="list" allowBlank="1" showInputMessage="1" showErrorMessage="1" xr:uid="{84DEC30E-7C83-4091-8E79-646D65672725}">
          <x14:formula1>
            <xm:f>LISTAS!$V:$V</xm:f>
          </x14:formula1>
          <xm:sqref>J66:J596 J2:J26 J28:J64</xm:sqref>
        </x14:dataValidation>
        <x14:dataValidation type="list" allowBlank="1" showInputMessage="1" showErrorMessage="1" xr:uid="{5959D240-B882-4E2B-9AC5-D28A4B1FBECE}">
          <x14:formula1>
            <xm:f>LISTAS!$L:$L</xm:f>
          </x14:formula1>
          <xm:sqref>G2:G596</xm:sqref>
        </x14:dataValidation>
        <x14:dataValidation type="list" allowBlank="1" showInputMessage="1" showErrorMessage="1" xr:uid="{449C00F4-6064-4A43-8841-42C02AF94C3A}">
          <x14:formula1>
            <xm:f>LISTAS!$O:$O</xm:f>
          </x14:formula1>
          <xm:sqref>H2:H596</xm:sqref>
        </x14:dataValidation>
        <x14:dataValidation type="list" allowBlank="1" showInputMessage="1" showErrorMessage="1" xr:uid="{5CD65229-26BD-48BF-89AE-72C3831919CF}">
          <x14:formula1>
            <xm:f>LISTAS!$Y$2:$Y$13</xm:f>
          </x14:formula1>
          <xm:sqref>K2:K596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E5FB-1ECA-4DC7-876B-C6FDFE4FFE6A}">
  <dimension ref="A4:A27"/>
  <sheetViews>
    <sheetView tabSelected="1" workbookViewId="0">
      <selection activeCell="A9" sqref="A9"/>
    </sheetView>
  </sheetViews>
  <sheetFormatPr baseColWidth="10" defaultRowHeight="15" x14ac:dyDescent="0.25"/>
  <cols>
    <col min="1" max="1" width="202.7109375" bestFit="1" customWidth="1"/>
  </cols>
  <sheetData>
    <row r="4" spans="1:1" ht="21" x14ac:dyDescent="0.25">
      <c r="A4" s="33" t="s">
        <v>164</v>
      </c>
    </row>
    <row r="5" spans="1:1" x14ac:dyDescent="0.25">
      <c r="A5" t="s">
        <v>1430</v>
      </c>
    </row>
    <row r="7" spans="1:1" x14ac:dyDescent="0.25">
      <c r="A7" t="s">
        <v>1431</v>
      </c>
    </row>
    <row r="9" spans="1:1" x14ac:dyDescent="0.25">
      <c r="A9" t="s">
        <v>1439</v>
      </c>
    </row>
    <row r="10" spans="1:1" x14ac:dyDescent="0.25">
      <c r="A10" t="s">
        <v>1440</v>
      </c>
    </row>
    <row r="11" spans="1:1" x14ac:dyDescent="0.25">
      <c r="A11" t="s">
        <v>1441</v>
      </c>
    </row>
    <row r="12" spans="1:1" x14ac:dyDescent="0.25">
      <c r="A12" t="s">
        <v>1442</v>
      </c>
    </row>
    <row r="13" spans="1:1" x14ac:dyDescent="0.25">
      <c r="A13" t="s">
        <v>1443</v>
      </c>
    </row>
    <row r="15" spans="1:1" x14ac:dyDescent="0.25">
      <c r="A15" t="s">
        <v>1432</v>
      </c>
    </row>
    <row r="17" spans="1:1" x14ac:dyDescent="0.25">
      <c r="A17" t="s">
        <v>1433</v>
      </c>
    </row>
    <row r="19" spans="1:1" x14ac:dyDescent="0.25">
      <c r="A19" t="s">
        <v>1434</v>
      </c>
    </row>
    <row r="21" spans="1:1" x14ac:dyDescent="0.25">
      <c r="A21" t="s">
        <v>1435</v>
      </c>
    </row>
    <row r="23" spans="1:1" x14ac:dyDescent="0.25">
      <c r="A23" t="s">
        <v>1436</v>
      </c>
    </row>
    <row r="25" spans="1:1" x14ac:dyDescent="0.25">
      <c r="A25" t="s">
        <v>1437</v>
      </c>
    </row>
    <row r="27" spans="1:1" x14ac:dyDescent="0.25">
      <c r="A27" t="s">
        <v>1438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FC839-824B-4CF1-B4DD-BB3435093B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LISTAS</vt:lpstr>
      <vt:lpstr>TAGEADOR</vt:lpstr>
      <vt:lpstr>Reglas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Weimann Hernan</dc:creator>
  <cp:lastModifiedBy>Weimann Hernan</cp:lastModifiedBy>
  <dcterms:created xsi:type="dcterms:W3CDTF">2025-05-27T17:49:44Z</dcterms:created>
  <dcterms:modified xsi:type="dcterms:W3CDTF">2025-10-16T16:38:08Z</dcterms:modified>
</cp:coreProperties>
</file>